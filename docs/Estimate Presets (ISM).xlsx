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Master Database" sheetId="1" r:id="rId5"/>
    <sheet state="visible" name="📖 Data Dictionary" sheetId="2" r:id="rId6"/>
    <sheet state="visible" name="🔍 Query Examples" sheetId="3" r:id="rId7"/>
  </sheets>
  <definedNames/>
  <calcPr/>
</workbook>
</file>

<file path=xl/sharedStrings.xml><?xml version="1.0" encoding="utf-8"?>
<sst xmlns="http://schemas.openxmlformats.org/spreadsheetml/2006/main" count="950" uniqueCount="455">
  <si>
    <t>ESTIMATION PRESET DATABASE  ·  v2.0</t>
  </si>
  <si>
    <t>CORE</t>
  </si>
  <si>
    <t>DISCOVERABILITY</t>
  </si>
  <si>
    <t>COMPLEXITY</t>
  </si>
  <si>
    <t>SEQUENCING</t>
  </si>
  <si>
    <t>EFFORT INTELLIGENCE</t>
  </si>
  <si>
    <t>NOTES</t>
  </si>
  <si>
    <t>ID</t>
  </si>
  <si>
    <t>Category</t>
  </si>
  <si>
    <t>Preset Name</t>
  </si>
  <si>
    <t>Description</t>
  </si>
  <si>
    <t>BE (h)</t>
  </si>
  <si>
    <t>FE (h)</t>
  </si>
  <si>
    <t>Total (h)</t>
  </si>
  <si>
    <t>Platforms</t>
  </si>
  <si>
    <t>Req. type</t>
  </si>
  <si>
    <t>Keywords</t>
  </si>
  <si>
    <t>User story tags</t>
  </si>
  <si>
    <t>Project size fit</t>
  </si>
  <si>
    <t>Integration count</t>
  </si>
  <si>
    <t>Data volume</t>
  </si>
  <si>
    <t>Phase</t>
  </si>
  <si>
    <t>Requires</t>
  </si>
  <si>
    <t>Blocks</t>
  </si>
  <si>
    <t>Can parallel</t>
  </si>
  <si>
    <t>AI assist</t>
  </si>
  <si>
    <t>Risk</t>
  </si>
  <si>
    <t>Research needed</t>
  </si>
  <si>
    <t>Notes / Assumptions</t>
  </si>
  <si>
    <t>P01</t>
  </si>
  <si>
    <t>Dev Environment</t>
  </si>
  <si>
    <t>R&amp;D — Contentful &amp; Contentful Studio</t>
  </si>
  <si>
    <t>Research spike on Contentful content modeling, Studio/Experiences constraints, and slice architecture.</t>
  </si>
  <si>
    <t>Contentful</t>
  </si>
  <si>
    <t>Research &amp; Discovery</t>
  </si>
  <si>
    <t>contentful, cms, studio, content modeling, spike</t>
  </si>
  <si>
    <t>Dev ops</t>
  </si>
  <si>
    <t>SMB|Mid-market|Enterprise</t>
  </si>
  <si>
    <t>None</t>
  </si>
  <si>
    <t>Foundation</t>
  </si>
  <si>
    <t>P14|P15|P16|P17|P18|P19|P20|P21</t>
  </si>
  <si>
    <t>No</t>
  </si>
  <si>
    <t>Low</t>
  </si>
  <si>
    <t>Yes</t>
  </si>
  <si>
    <t>Findings gate all CMS implementation. Run before any Contentful build work.</t>
  </si>
  <si>
    <t>P02</t>
  </si>
  <si>
    <t>R&amp;D — Epicor P21 API</t>
  </si>
  <si>
    <t>Spike on P21 API capabilities, endpoint availability (pricing, inventory, orders, customers) and integration constraints.</t>
  </si>
  <si>
    <t>P21</t>
  </si>
  <si>
    <t>P21, Epicor, ERP, API, endpoints, inventory, pricing, spike</t>
  </si>
  <si>
    <t>Mid-market|Enterprise</t>
  </si>
  <si>
    <t>P07|P08|P09|P24</t>
  </si>
  <si>
    <t>High</t>
  </si>
  <si>
    <t>No custom P21 dev included. P21 must already expose required endpoints.</t>
  </si>
  <si>
    <t>P03</t>
  </si>
  <si>
    <t>R&amp;D — Celigo</t>
  </si>
  <si>
    <t>Spike on Celigo connector configuration, available adaptors, and flow patterns for P21/Shopify/Contentful.</t>
  </si>
  <si>
    <t>Celigo</t>
  </si>
  <si>
    <t>celigo, iPaaS, ETL, integration platform, flows, connectors, spike</t>
  </si>
  <si>
    <t>P07|P08|P09|P10</t>
  </si>
  <si>
    <t>Medium</t>
  </si>
  <si>
    <t>Celigo license and sandbox must be provisioned before spike.</t>
  </si>
  <si>
    <t>P04</t>
  </si>
  <si>
    <t>R&amp;D — Klevu</t>
  </si>
  <si>
    <t>Spike on Klevu indexing API, search relevance features, and faceting capabilities.</t>
  </si>
  <si>
    <t>Klevu</t>
  </si>
  <si>
    <t>klevu, search, indexing, faceting, relevance, spike</t>
  </si>
  <si>
    <t>P11|P12|P13</t>
  </si>
  <si>
    <t>Klevu sandbox required. Subscription must cover 90k+ SKUs if applicable.</t>
  </si>
  <si>
    <t>P05</t>
  </si>
  <si>
    <t>R&amp;D — PIM platform</t>
  </si>
  <si>
    <t>Spike on PIM platform schema design, ingestion patterns, and integration with Shopify and Celigo.</t>
  </si>
  <si>
    <t>PIM</t>
  </si>
  <si>
    <t>PIM, product information, schema, ingestion, attributes, spike</t>
  </si>
  <si>
    <t>P06|P07|P08</t>
  </si>
  <si>
    <t>PIM must be selected and licensed before spike begins.</t>
  </si>
  <si>
    <t>P06</t>
  </si>
  <si>
    <t>R&amp;D — Act-On</t>
  </si>
  <si>
    <t>Spike on Act-On API, form submission endpoint, and lead capture integration patterns.</t>
  </si>
  <si>
    <t>Act-On</t>
  </si>
  <si>
    <t>act-on, marketing automation, lead gen, form submission, spike</t>
  </si>
  <si>
    <t>Dev ops|Marketing editor</t>
  </si>
  <si>
    <t>P22</t>
  </si>
  <si>
    <t>Act-On credentials required before spike.</t>
  </si>
  <si>
    <t>P07</t>
  </si>
  <si>
    <t>Integration / Celigo</t>
  </si>
  <si>
    <t>API gateway &amp; environment setup</t>
  </si>
  <si>
    <t>Establish composable architecture foundation: API gateway, environment scaffolding, and security configuration for all integration layers.</t>
  </si>
  <si>
    <t>Shopify|Celigo|P21|Vercel</t>
  </si>
  <si>
    <t>Infrastructure</t>
  </si>
  <si>
    <t>API gateway, environment setup, security, scaffolding, architecture, foundation</t>
  </si>
  <si>
    <t>P08|P09|P10</t>
  </si>
  <si>
    <t>Admin-level access to all platforms required within 2 business days of kickoff.</t>
  </si>
  <si>
    <t>P08</t>
  </si>
  <si>
    <t>Celigo flow — B2B identity sync (P21 → Shopify)</t>
  </si>
  <si>
    <t>Sync P21 Company Profiles, Locations, and Customer-to-Company assignments into Shopify Plus via Celigo.</t>
  </si>
  <si>
    <t>Celigo|Shopify|P21</t>
  </si>
  <si>
    <t>Data Sync</t>
  </si>
  <si>
    <t>B2B, company sync, location sync, buyer identity, Celigo, P21, Shopify, customer assignment</t>
  </si>
  <si>
    <t>Enterprise</t>
  </si>
  <si>
    <t>Core</t>
  </si>
  <si>
    <t>P07|P03|P02</t>
  </si>
  <si>
    <t>P25|P26|P28</t>
  </si>
  <si>
    <t>Client owns resolution of duplicate company/location records before sync. No custom P21 dev.</t>
  </si>
  <si>
    <t>P09</t>
  </si>
  <si>
    <t>Celigo flow — pricing &amp; inventory sync (P21 → Shopify)</t>
  </si>
  <si>
    <t>Synchronise pricing and inventory data from P21 to Shopify for purchasable SKUs.</t>
  </si>
  <si>
    <t>pricing sync, inventory sync, SKU, P21, Celigo, Shopify, real-time</t>
  </si>
  <si>
    <t>P25|P26|P27|P28</t>
  </si>
  <si>
    <t>P21 must expose pricing and inventory endpoints. Real-time latency assumed acceptable.</t>
  </si>
  <si>
    <t>P10</t>
  </si>
  <si>
    <t>Celigo flow — order submission (Shopify → P21)</t>
  </si>
  <si>
    <t>Push completed Shopify checkout orders to P21 to maintain ERP as operational truth.</t>
  </si>
  <si>
    <t>order sync, order submission, checkout, P21, Celigo, ERP, Shopify</t>
  </si>
  <si>
    <t>P21 order intake endpoint must be available. Returns/RMAs are out of scope.</t>
  </si>
  <si>
    <t>P11</t>
  </si>
  <si>
    <t>PIM &amp; Search</t>
  </si>
  <si>
    <t>PIM product schema definition</t>
  </si>
  <si>
    <t>Define scripts to merge fragmented product attribute data from legacy sources and P21 into the PIM schema.</t>
  </si>
  <si>
    <t>PIM|P21</t>
  </si>
  <si>
    <t>Data Modeling</t>
  </si>
  <si>
    <t>PIM, product schema, attributes, data modeling, legacy mapping, P21, merge</t>
  </si>
  <si>
    <t>P12|P13|P14</t>
  </si>
  <si>
    <t>Attribute mapping decisions owned by client; Codup implements once decisions are final.</t>
  </si>
  <si>
    <t>P12</t>
  </si>
  <si>
    <t>PIM initial ingestion flow (legacy attribute mapping)</t>
  </si>
  <si>
    <t>Map and ingest existing Magento attributes into the PIM; tolerate imperfect data; includes CSV import.</t>
  </si>
  <si>
    <t>Data Migration</t>
  </si>
  <si>
    <t>PIM, Magento, attribute migration, ingestion, CSV import, legacy data, mapping</t>
  </si>
  <si>
    <t>P13</t>
  </si>
  <si>
    <t>Magento attribute data must be exportable as CSV/JSON before ingestion begins. Simple products only.</t>
  </si>
  <si>
    <t>PIM data validation &amp; cleansing scripts</t>
  </si>
  <si>
    <t>Automated QA scripts to validate 90k normalised SKUs from Magento attribute families against PIM schemas.</t>
  </si>
  <si>
    <t>Data Quality</t>
  </si>
  <si>
    <t>PIM, validation, cleansing, QA, SKU, automated scripts, data quality</t>
  </si>
  <si>
    <t>P14</t>
  </si>
  <si>
    <t>Manual data remediation is client-owned; scripts cover automated validation only.</t>
  </si>
  <si>
    <t>PIM data fetching &amp; display integration</t>
  </si>
  <si>
    <t>Integrate PIM attributes with Shopify/Celigo and P21 for consistent product data display on frontend.</t>
  </si>
  <si>
    <t>PIM|Shopify|Celigo</t>
  </si>
  <si>
    <t>Integration</t>
  </si>
  <si>
    <t>PIM, product data, display, Shopify, integration, attributes</t>
  </si>
  <si>
    <t>P13|P11</t>
  </si>
  <si>
    <t>P27|P30</t>
  </si>
  <si>
    <t>PIM schema must be finalised before this integration is built.</t>
  </si>
  <si>
    <t>P15</t>
  </si>
  <si>
    <t>CMS &amp; Content</t>
  </si>
  <si>
    <t>Contentful content model definition</t>
  </si>
  <si>
    <t>Define Contentful models for Pages, Blogs, and Resources with entry limits and linked references for editorial consistency.</t>
  </si>
  <si>
    <t>Content Modeling</t>
  </si>
  <si>
    <t>Contentful, content model, pages, blogs, resources, editorial, CMS</t>
  </si>
  <si>
    <t>P16|P17|P18|P19|P20|P21</t>
  </si>
  <si>
    <t>Content types limited to those described. Additional types are a change request.</t>
  </si>
  <si>
    <t>P16</t>
  </si>
  <si>
    <t>Contentful Studio dynamic page rendering</t>
  </si>
  <si>
    <t>Implement core React logic to iterate and render Contentful page slices/components from the Content Delivery API.</t>
  </si>
  <si>
    <t>Contentful|Vercel</t>
  </si>
  <si>
    <t>Frontend Development</t>
  </si>
  <si>
    <t>Contentful, Studio, page rendering, slices, components, React, CDA</t>
  </si>
  <si>
    <t>P15|P01</t>
  </si>
  <si>
    <t>P17|P18|P19|P20</t>
  </si>
  <si>
    <t>Content model must be finalised before rendering logic is built.</t>
  </si>
  <si>
    <t>P17</t>
  </si>
  <si>
    <t>CMS component — hero banner (Contentful Studio slice)</t>
  </si>
  <si>
    <t>Build hero banner as a constrained, reusable editorial slice within Contentful Studio/Experiences.</t>
  </si>
  <si>
    <t>Component Development</t>
  </si>
  <si>
    <t>Contentful, hero banner, component, Studio, slice, CMS, editorial</t>
  </si>
  <si>
    <t>Marketing editor</t>
  </si>
  <si>
    <t>Contentful Studio must be licensed and provisioned. One slice component.</t>
  </si>
  <si>
    <t>P18</t>
  </si>
  <si>
    <t>CMS component — product grid/teaser (Contentful Studio slice)</t>
  </si>
  <si>
    <t>Build product grid component allowing editors to feature Shopify-selected products via Contentful Studio.</t>
  </si>
  <si>
    <t>Contentful|Shopify</t>
  </si>
  <si>
    <t>Contentful, product grid, teaser, component, Studio, slice, Shopify, editorial</t>
  </si>
  <si>
    <t>Shopify product data must be queryable from Contentful Studio.</t>
  </si>
  <si>
    <t>P19</t>
  </si>
  <si>
    <t>CMS component library expansion (8–10 opinionated components)</t>
  </si>
  <si>
    <t>Develop 8–10 additional frontend-only components: Text Blocks, CTAs, Image Grids, Resource Cards.</t>
  </si>
  <si>
    <t>CMS, components, text block, CTA, image grid, resource card, frontend, component library</t>
  </si>
  <si>
    <t>Scope fixed at 8–10 components. Expansion is a change request.</t>
  </si>
  <si>
    <t>P20</t>
  </si>
  <si>
    <t>Contentful Patterns / template pattern library</t>
  </si>
  <si>
    <t>Configure Contentful Patterns to allow marketing to save and reuse page layouts and sections visually.</t>
  </si>
  <si>
    <t>Content Authoring</t>
  </si>
  <si>
    <t>Contentful, patterns, templates, page layouts, reusable sections, marketing, CMS</t>
  </si>
  <si>
    <t>Requires Contentful Studio. Advanced editorial workflow features are excluded.</t>
  </si>
  <si>
    <t>Lead gen form — non-purchasable SKUs → Act-On</t>
  </si>
  <si>
    <t>Build Show Interest form for non-purchasable SKUs; relay data to Act-On; noindex confirmation; auto-embed SKU.</t>
  </si>
  <si>
    <t>Act-On|Contentful</t>
  </si>
  <si>
    <t>Lead Capture</t>
  </si>
  <si>
    <t>lead gen, form, Act-On, non-purchasable, SKU, noindex, marketing automation</t>
  </si>
  <si>
    <t>Marketing editor|B2B buyer</t>
  </si>
  <si>
    <t>Act-On credentials and form endpoint required. GDPR/consent copy is client-owned.</t>
  </si>
  <si>
    <t>Dynamic sitemap generation &amp; robots control</t>
  </si>
  <si>
    <t>Server-side logic to dynamically generate sitemaps for all product and content pages, respecting legacy URL structures.</t>
  </si>
  <si>
    <t>Vercel</t>
  </si>
  <si>
    <t>SEO</t>
  </si>
  <si>
    <t>sitemap, robots.txt, SEO, server-side, dynamic, URL structure, legacy</t>
  </si>
  <si>
    <t>Legacy URL structures must be documented before implementation.</t>
  </si>
  <si>
    <t>P23</t>
  </si>
  <si>
    <t>SEO — schema.org, breadcrumbs, semantic structure &amp; noindex</t>
  </si>
  <si>
    <t>Add schema.org markup (Org/Product/Breadcrumb); implement category breadcrumbs; ensure semantic headings; apply NoIndex rules.</t>
  </si>
  <si>
    <t>Vercel|Shopify</t>
  </si>
  <si>
    <t>schema.org, breadcrumbs, semantic HTML, noindex, SEO, structured data, headings</t>
  </si>
  <si>
    <t>NoIndex rules and breadcrumb taxonomy signed off by client before build.</t>
  </si>
  <si>
    <t>P24</t>
  </si>
  <si>
    <t>Edge middleware redirect service (90k+ redirects)</t>
  </si>
  <si>
    <t>Custom edge middleware (Vercel Edge Config or equivalent) to serve 90k+ legacy redirects without performance impact.</t>
  </si>
  <si>
    <t>redirects, edge middleware, Vercel, legacy URLs, SEO, 301, performance</t>
  </si>
  <si>
    <t>Redirect list must be provided as structured data. High data-volume preset — not applicable to SMB.</t>
  </si>
  <si>
    <t>P25</t>
  </si>
  <si>
    <t>URL mapping &amp; validation script</t>
  </si>
  <si>
    <t>Bulk script to map legacy Magento/ExpressionEngine URLs to new Next.js structure and validate path integrity.</t>
  </si>
  <si>
    <t>URL mapping, redirect, Magento, ExpressionEngine, Next.js, SEO, validation, legacy</t>
  </si>
  <si>
    <t>Output is a validated mapping file. Legacy URL export required from client.</t>
  </si>
  <si>
    <t>P26</t>
  </si>
  <si>
    <t>B2B</t>
  </si>
  <si>
    <t>Shopify customer account auth flow</t>
  </si>
  <si>
    <t>Configure and implement login, registration, and session management using Shopify native B2B authentication.</t>
  </si>
  <si>
    <t>Shopify</t>
  </si>
  <si>
    <t>Authentication</t>
  </si>
  <si>
    <t>B2B, login, registration, session, authentication, Shopify, account</t>
  </si>
  <si>
    <t>B2B buyer</t>
  </si>
  <si>
    <t>P27|P28|P29|P30|P31</t>
  </si>
  <si>
    <t>Shopify Plus B2B plan must be provisioned and active.</t>
  </si>
  <si>
    <t>P27</t>
  </si>
  <si>
    <t>Buyer identity enforcement at checkout</t>
  </si>
  <si>
    <t>Apply selected company/location to checkout session; implement fallback rules when buyer identity is missing.</t>
  </si>
  <si>
    <t>Checkout</t>
  </si>
  <si>
    <t>B2B, buyer identity, checkout, company, location, fallback, session</t>
  </si>
  <si>
    <t>P26|P08</t>
  </si>
  <si>
    <t>P32|P33|P34|P35</t>
  </si>
  <si>
    <t>Company/location sync must be live in Shopify before this can be tested.</t>
  </si>
  <si>
    <t>P28</t>
  </si>
  <si>
    <t>Contextual pricing via @inContext GraphQL</t>
  </si>
  <si>
    <t>Apply @inContext directive across all product queries to fetch B2B catalog prices from Shopify.</t>
  </si>
  <si>
    <t>Pricing</t>
  </si>
  <si>
    <t>B2B, pricing, GraphQL, inContext, catalog, Shopify, contextual</t>
  </si>
  <si>
    <t>P09|P08</t>
  </si>
  <si>
    <t>P29</t>
  </si>
  <si>
    <t>Shopify B2B catalogs must be configured per company/location before wiring.</t>
  </si>
  <si>
    <t>Controlled pricing display feature toggle</t>
  </si>
  <si>
    <t>Global toggle to show/hide B2B pricing; defaults to list price (safe default) when toggled off.</t>
  </si>
  <si>
    <t>B2B, pricing toggle, list price, safe default, feature flag</t>
  </si>
  <si>
    <t>Dev ops|B2B buyer</t>
  </si>
  <si>
    <t>List price must be clearly identifiable in P21 source data.</t>
  </si>
  <si>
    <t>P30</t>
  </si>
  <si>
    <t>Real-time inventory lookup (Shopify API)</t>
  </si>
  <si>
    <t>Integrate PDP inventory display with Shopify API for low-latency real-time stock checks on purchasable SKUs.</t>
  </si>
  <si>
    <t>Shopify|P21</t>
  </si>
  <si>
    <t>Inventory</t>
  </si>
  <si>
    <t>inventory, real-time, Shopify, API, PDP, stock, purchasable SKU</t>
  </si>
  <si>
    <t>P09|P26</t>
  </si>
  <si>
    <t>P21 must respond within acceptable latency. Caching layer is a change request if needed.</t>
  </si>
  <si>
    <t>P31</t>
  </si>
  <si>
    <t>Company location selector UI</t>
  </si>
  <si>
    <t>UI for B2B users with multiple locations to select their operational context (buyer identity).</t>
  </si>
  <si>
    <t>UI Component</t>
  </si>
  <si>
    <t>B2B, location selector, company, buyer identity, UI, multi-location</t>
  </si>
  <si>
    <t>P08|P26</t>
  </si>
  <si>
    <t>Location data must be synced to Shopify before end-to-end testing.</t>
  </si>
  <si>
    <t>P32</t>
  </si>
  <si>
    <t>B2B cart logic extensions (quantity rules / volume pricing)</t>
  </si>
  <si>
    <t>Enforce P21-defined quantity rules, increments, and volume price breaks in the headless cart UI.</t>
  </si>
  <si>
    <t>Commerce Logic</t>
  </si>
  <si>
    <t>B2B, cart, quantity rules, volume pricing, increments, headless, Shopify</t>
  </si>
  <si>
    <t>P09|P27</t>
  </si>
  <si>
    <t>P21 rules must be synced to Shopify metafields before cart logic can be wired.</t>
  </si>
  <si>
    <t>P33</t>
  </si>
  <si>
    <t>B2B account dashboard (P21 order history + documents)</t>
  </si>
  <si>
    <t>Enhanced portal showing historical P21 orders (not just Shopify web orders) and B2B-specific documents.</t>
  </si>
  <si>
    <t>Portal</t>
  </si>
  <si>
    <t>B2B, account dashboard, order history, P21, documents, portal</t>
  </si>
  <si>
    <t>Enhancement</t>
  </si>
  <si>
    <t>P26|P02</t>
  </si>
  <si>
    <t>P21 order history API endpoint must be available and accessible.</t>
  </si>
  <si>
    <t>P34</t>
  </si>
  <si>
    <t>Shopify / Ecommerce</t>
  </si>
  <si>
    <t>Shopify payment provider config</t>
  </si>
  <si>
    <t>Configure payment provider (e.g. Worldpay-compatible); test auth/capture/refund flows; validate B2B checkout behaviour.</t>
  </si>
  <si>
    <t>Payments</t>
  </si>
  <si>
    <t>Shopify, payment, Worldpay, checkout, auth, capture, refund, B2B</t>
  </si>
  <si>
    <t>P35</t>
  </si>
  <si>
    <t>Sandbox credentials must be provided on day 1. Assumes Shopify hosted checkout.</t>
  </si>
  <si>
    <t>Shopify shipping zones &amp; carrier rates</t>
  </si>
  <si>
    <t>Configure shipping zones/rules; connect carrier accounts; validate rate estimates at checkout.</t>
  </si>
  <si>
    <t>Shipping</t>
  </si>
  <si>
    <t>Shopify, shipping, zones, carrier, rates, checkout, logistics</t>
  </si>
  <si>
    <t>Carrier API credentials must be available before work starts.</t>
  </si>
  <si>
    <t>P36</t>
  </si>
  <si>
    <t>Shopify tax configuration</t>
  </si>
  <si>
    <t>Configure tax behaviour including B2B exemptions; implement checkout messaging about customer-reported taxation.</t>
  </si>
  <si>
    <t>Tax</t>
  </si>
  <si>
    <t>Shopify, tax, B2B, exemptions, checkout, compliance</t>
  </si>
  <si>
    <t>Tax rules and exemption logic must be signed off by client before implementation.</t>
  </si>
  <si>
    <t>P37</t>
  </si>
  <si>
    <t>Google Merchant Center (GMC) feed setup</t>
  </si>
  <si>
    <t>Map required fields (price, inventory, images, brand) to Shopify metafields; configure GMC feed; validate daily updates.</t>
  </si>
  <si>
    <t>Marketing / Feeds</t>
  </si>
  <si>
    <t>GMC, Google Merchant Center, product feed, Shopify, metafields, inventory, daily sync</t>
  </si>
  <si>
    <t>GMC account access required. Feed validated against live SKUs.</t>
  </si>
  <si>
    <t>P38</t>
  </si>
  <si>
    <t>Shopify checkout settings (account-required + branding)</t>
  </si>
  <si>
    <t>Configure account-required checkout, branding tokens, and policies. No custom logic.</t>
  </si>
  <si>
    <t>Shopify, checkout, branding, account required, policies, settings</t>
  </si>
  <si>
    <t>P27|P39|P40</t>
  </si>
  <si>
    <t>Scoped to Shopify native settings only. Deep checkout logic is out of scope.</t>
  </si>
  <si>
    <t>P39</t>
  </si>
  <si>
    <t>Headless cart → Shopify checkout handoff</t>
  </si>
  <si>
    <t>Implement session handoff from headless cart to Shopify checkout; handle error states and return routing.</t>
  </si>
  <si>
    <t>Shopify|Vercel</t>
  </si>
  <si>
    <t>headless, cart, checkout handoff, session, Shopify, error handling, return routing</t>
  </si>
  <si>
    <t>P40</t>
  </si>
  <si>
    <t>Assumes headless cart is already built; this is the bridge layer only.</t>
  </si>
  <si>
    <t>Checkout UI extensions (PO/reference fields + messaging)</t>
  </si>
  <si>
    <t>Build Shopify checkout UI extensions for PO/reference number input, required fields, and messaging blocks.</t>
  </si>
  <si>
    <t>checkout extensions, PO number, reference fields, messaging, Shopify, B2B, UI extension</t>
  </si>
  <si>
    <t>B2B buyer|Dev ops</t>
  </si>
  <si>
    <t>Shopify Plus required. Extensions limited to Shopify extension points.</t>
  </si>
  <si>
    <t>P41</t>
  </si>
  <si>
    <t>Klevu indexing integration (PIM + Contentful)</t>
  </si>
  <si>
    <t>Build export mechanism combining PIM product attributes and Contentful non-product content for Klevu search indexing.</t>
  </si>
  <si>
    <t>Klevu|PIM|Contentful</t>
  </si>
  <si>
    <t>Search</t>
  </si>
  <si>
    <t>Klevu, search, indexing, PIM, Contentful, product, content, export</t>
  </si>
  <si>
    <t>P04|P13|P15</t>
  </si>
  <si>
    <t>P42|P43</t>
  </si>
  <si>
    <t>Klevu subscription must cover 90k+ SKUs plus content. Indexing must be live before PLP.</t>
  </si>
  <si>
    <t>P42</t>
  </si>
  <si>
    <t>Faceted filtering / PLP interface (Klevu-powered)</t>
  </si>
  <si>
    <t>Implement Product Listing Page UI with category filters, sorting, and faceted search wired to Klevu API results.</t>
  </si>
  <si>
    <t>Klevu|Shopify</t>
  </si>
  <si>
    <t>Search UI</t>
  </si>
  <si>
    <t>PLP, product listing, facets, filters, sorting, Klevu, search, category</t>
  </si>
  <si>
    <t>Klevu must be indexed before PLP can be tested. Facet taxonomy signed off before build.</t>
  </si>
  <si>
    <t>P43</t>
  </si>
  <si>
    <t>Sitewide search — autocomplete, results page &amp; layout</t>
  </si>
  <si>
    <t>Implement search box, autocomplete/suggestions, and results page; layout via Contentful Studio; wired to Klevu.</t>
  </si>
  <si>
    <t>Klevu|Contentful</t>
  </si>
  <si>
    <t>search, autocomplete, suggestions, results page, Klevu, Contentful, sitewide</t>
  </si>
  <si>
    <t>B2B buyer|Marketing editor</t>
  </si>
  <si>
    <t>P41|P15</t>
  </si>
  <si>
    <t>Klevu indexing must be live. Content layout models must be finalised in Contentful first.</t>
  </si>
  <si>
    <t>P44</t>
  </si>
  <si>
    <t>SSR / static generation &amp; Core Web Vitals optimisation</t>
  </si>
  <si>
    <t>Configure Next.js SSR or static generation for critical pages; ensure Core Web Vitals compliance.</t>
  </si>
  <si>
    <t>Performance</t>
  </si>
  <si>
    <t>SSR, static generation, Next.js, Core Web Vitals, performance, SEO, Vercel</t>
  </si>
  <si>
    <t>Framework must be Next.js. Deep infra changes outside Next.js config are out of scope.</t>
  </si>
  <si>
    <t>P45</t>
  </si>
  <si>
    <t>Accessibility implementation (keyboard nav, contrast, focus states)</t>
  </si>
  <si>
    <t>Implement keyboard navigation, colour contrast, font sizes, focus/active states to WCAG template-level compliance.</t>
  </si>
  <si>
    <t>Accessibility</t>
  </si>
  <si>
    <t>WCAG, accessibility, keyboard navigation, focus states, colour contrast, a11y</t>
  </si>
  <si>
    <t>Template/component-level only. Formal external audit is excluded.</t>
  </si>
  <si>
    <t>TOTAL — ALL PRESETS</t>
  </si>
  <si>
    <t>DATA DICTIONARY — COLUMN REFERENCE</t>
  </si>
  <si>
    <t>Column name</t>
  </si>
  <si>
    <t>Group</t>
  </si>
  <si>
    <t>Purpose</t>
  </si>
  <si>
    <t>Allowed values / format</t>
  </si>
  <si>
    <t>Unique preset identifier for cross-referencing Requires/Blocks columns.</t>
  </si>
  <si>
    <t>P01 – P99 (increment as you add presets)</t>
  </si>
  <si>
    <t>High-level domain grouping for browsing and summary roll-ups.</t>
  </si>
  <si>
    <t>Shopify / Ecommerce | B2B | CMS &amp; Content | Integration / Celigo | PIM &amp; Search | Dev Environment</t>
  </si>
  <si>
    <t>Short, reusable name. Should be self-explanatory with no project-specific context.</t>
  </si>
  <si>
    <t>Free text, max 60 chars. No client names.</t>
  </si>
  <si>
    <t>One-sentence scope statement. What does this preset cover and what does it explicitly exclude?</t>
  </si>
  <si>
    <t>Free text. Keep to 1–2 sentences.</t>
  </si>
  <si>
    <t>Estimated backend hours at base complexity. Blue = hardcoded input, adjust per project.</t>
  </si>
  <si>
    <t>Integer hours</t>
  </si>
  <si>
    <t>Estimated frontend hours at base complexity. Blue = hardcoded input, adjust per project.</t>
  </si>
  <si>
    <t>Auto-calculated: BE + FE. Do not edit.</t>
  </si>
  <si>
    <t>Formula =E+F</t>
  </si>
  <si>
    <t>Discoverability</t>
  </si>
  <si>
    <t>Which third-party platforms does this preset directly touch?</t>
  </si>
  <si>
    <t>Pipe-separated: Shopify | Celigo | Contentful | Klevu | P21 | Act-On | Vercel | PIM</t>
  </si>
  <si>
    <t>Functional category — used to match a client requirement to a preset class.</t>
  </si>
  <si>
    <t>Authentication | Checkout | Commerce Logic | Component Development | Content Authoring | Content Modeling | Data Migration | Data Modeling | Data Quality | Data Sync | Frontend Development | Infrastructure | Integration | Inventory | Lead Capture | Marketing / Feeds | Payments | Performance | Pricing | Portal | Research &amp; Discovery | SEO | Search | Search UI | Shipping | Tax | UI Component</t>
  </si>
  <si>
    <t>Free-text searchable tags. Use CTRL+F in Excel or FILTER() to search.</t>
  </si>
  <si>
    <t>Comma-separated, lowercase, no quotes</t>
  </si>
  <si>
    <t>Who is the end beneficiary of this preset?</t>
  </si>
  <si>
    <t>Pipe-separated: B2B buyer | Dev ops | Marketing editor</t>
  </si>
  <si>
    <t>Complexity</t>
  </si>
  <si>
    <t>Which project sizes is this preset appropriate for? Helps exclude irrelevant presets from small projects.</t>
  </si>
  <si>
    <t>Pipe-separated: SMB | Mid-market | Enterprise</t>
  </si>
  <si>
    <t>How many distinct platform connections does this preset assume? Use to estimate integration complexity.</t>
  </si>
  <si>
    <t>Integer 1–5</t>
  </si>
  <si>
    <t>Does this preset's scope or risk change significantly with high data volume (e.g. 90k SKUs, 90k redirects)?</t>
  </si>
  <si>
    <t>None | Low | High</t>
  </si>
  <si>
    <t>Sequencing</t>
  </si>
  <si>
    <t>When in a project lifecycle does this preset typically land?</t>
  </si>
  <si>
    <t>Foundation (env setup, R&amp;D spikes) | Core (main build) | Enhancement (optimisation, extras)</t>
  </si>
  <si>
    <t>Preset IDs that must be completed before this preset can begin. Pipe-separated.</t>
  </si>
  <si>
    <t>Pipe-separated preset IDs, e.g. P07|P08. Leave blank if none.</t>
  </si>
  <si>
    <t>Preset IDs that cannot begin until this preset is done. Pipe-separated.</t>
  </si>
  <si>
    <t>Pipe-separated preset IDs. Leave blank if none.</t>
  </si>
  <si>
    <t>Can this preset run concurrently with other work, or does it have hard serial dependencies?</t>
  </si>
  <si>
    <t>Yes | No</t>
  </si>
  <si>
    <t>Effort intelligence</t>
  </si>
  <si>
    <t>How much do AI coding tools (Cursor, Copilot, etc.) compress this preset's effort?</t>
  </si>
  <si>
    <t>Low (minimal gain, e.g. complex integration logic) | Medium | High (boilerplate, components, scripts)</t>
  </si>
  <si>
    <t>Likelihood that this preset will exceed estimate due to external dependencies, unknowns, or complexity.</t>
  </si>
  <si>
    <t>Low | Medium | High</t>
  </si>
  <si>
    <t>Is a separate R&amp;D spike required before this preset can be accurately estimated or begun?</t>
  </si>
  <si>
    <t>Notes</t>
  </si>
  <si>
    <t>Key assumption that, if violated, makes this preset a change request. One sentence.</t>
  </si>
  <si>
    <t>Free text</t>
  </si>
  <si>
    <t>QUERY TEMPLATES — COPY THESE FORMULAS INTO MASTER DATABASE SHEET TO FILTER</t>
  </si>
  <si>
    <t>Query intent</t>
  </si>
  <si>
    <t>Formula (paste into a new sheet, referencing 📋 Master Database)</t>
  </si>
  <si>
    <t>All Enterprise-fit presets</t>
  </si>
  <si>
    <t>=FILTER('📋 Master Database'!A4:V48, ISNUMBER(SEARCH("Enterprise",'📋 Master Database'!L4:L48)))</t>
  </si>
  <si>
    <t>All Shopify-touching presets</t>
  </si>
  <si>
    <t>=FILTER('📋 Master Database'!A4:V48, ISNUMBER(SEARCH("Shopify",'📋 Master Database'!H4:H48)))</t>
  </si>
  <si>
    <t>All Celigo flows</t>
  </si>
  <si>
    <t>=FILTER('📋 Master Database'!A4:V48, ISNUMBER(SEARCH("Celigo",'📋 Master Database'!H4:H48)))</t>
  </si>
  <si>
    <t>All Foundation-phase presets</t>
  </si>
  <si>
    <t>=FILTER('📋 Master Database'!A4:V48, '📋 Master Database'!O4:O48="Foundation")</t>
  </si>
  <si>
    <t>All Core-phase presets</t>
  </si>
  <si>
    <t>=FILTER('📋 Master Database'!A4:V48, '📋 Master Database'!O4:O48="Core")</t>
  </si>
  <si>
    <t>All Enhancement-phase presets</t>
  </si>
  <si>
    <t>=FILTER('📋 Master Database'!A4:V48, '📋 Master Database'!O4:O48="Enhancement")</t>
  </si>
  <si>
    <t>High-risk presets only</t>
  </si>
  <si>
    <t>=FILTER('📋 Master Database'!A4:V48, '📋 Master Database'!T4:T48="High")</t>
  </si>
  <si>
    <t>Low-risk presets only</t>
  </si>
  <si>
    <t>=FILTER('📋 Master Database'!A4:V48, '📋 Master Database'!T4:T48="Low")</t>
  </si>
  <si>
    <t>Presets where AI saves most time (High assist)</t>
  </si>
  <si>
    <t>=FILTER('📋 Master Database'!A4:V48, '📋 Master Database'!S4:S48="High")</t>
  </si>
  <si>
    <t>Presets that can run in parallel</t>
  </si>
  <si>
    <t>=FILTER('📋 Master Database'!A4:V48, '📋 Master Database'!R4:R48="Yes")</t>
  </si>
  <si>
    <t>High data-volume presets (flag for large catalogs)</t>
  </si>
  <si>
    <t>=FILTER('📋 Master Database'!A4:V48, '📋 Master Database'!N4:N48="High")</t>
  </si>
  <si>
    <t>B2B buyer-facing presets</t>
  </si>
  <si>
    <t>=FILTER('📋 Master Database'!A4:V48, ISNUMBER(SEARCH("B2B buyer",'📋 Master Database'!K4:K48)))</t>
  </si>
  <si>
    <t>Marketing editor-facing presets</t>
  </si>
  <si>
    <t>=FILTER('📋 Master Database'!A4:V48, ISNUMBER(SEARCH("Marketing editor",'📋 Master Database'!K4:K48)))</t>
  </si>
  <si>
    <t>R&amp;D spikes only</t>
  </si>
  <si>
    <t>=FILTER('📋 Master Database'!A4:V48, '📋 Master Database'!U4:U48="Yes")</t>
  </si>
  <si>
    <t>Presets needing &gt;20h BE</t>
  </si>
  <si>
    <t>=FILTER('📋 Master Database'!A4:V48, '📋 Master Database'!E4:E48&gt;20)</t>
  </si>
  <si>
    <t>Search for keyword (edit SEARCH term in formula)</t>
  </si>
  <si>
    <t>=FILTER('📋 Master Database'!A4:V48, ISNUMBER(SEARCH("klevu",'📋 Master Database'!J4:J48)))</t>
  </si>
  <si>
    <t>Shopify B2B full build (Shopify + B2B category)</t>
  </si>
  <si>
    <t>=FILTER('📋 Master Database'!A4:V48, ISNUMBER(SEARCH("Shopify",'📋 Master Database'!H4:H48)) * ('📋 Master Database'!B4:B48="B2B"))</t>
  </si>
  <si>
    <t>SMB-appropriate presets only</t>
  </si>
  <si>
    <t>=FILTER('📋 Master Database'!A4:V48, ISNUMBER(SEARCH("SMB",'📋 Master Database'!L4:L48)))</t>
  </si>
  <si>
    <t>Checkout-type requirements</t>
  </si>
  <si>
    <t>=FILTER('📋 Master Database'!A4:V48, '📋 Master Database'!I4:I48="Checkout")</t>
  </si>
  <si>
    <t>All SEO-type requirements</t>
  </si>
  <si>
    <t>=FILTER('📋 Master Database'!A4:V48, '📋 Master Database'!I4:I48="SEO")</t>
  </si>
  <si>
    <t>Multi-platform presets (integration count &gt;= 3)</t>
  </si>
  <si>
    <t>=FILTER('📋 Master Database'!A4:V48, '📋 Master Database'!M4:M48&gt;=3)</t>
  </si>
  <si>
    <t>No-spike presets (can estimate without R&amp;D)</t>
  </si>
  <si>
    <t>=FILTER('📋 Master Database'!A4:V48, '📋 Master Database'!U4:U48="No")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</si>
</sst>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1.0"/>
      <color theme="1"/>
      <name val="Calibri"/>
      <scheme val="minor"/>
    </font>
    <font>
      <b/>
      <sz val="12.0"/>
      <color rgb="FFFFFFFF"/>
      <name val="Arial"/>
    </font>
    <font/>
    <font>
      <color theme="1"/>
      <name val="Calibri"/>
      <scheme val="minor"/>
    </font>
    <font>
      <b/>
      <sz val="8.0"/>
      <color rgb="FFFFFFFF"/>
      <name val="Arial"/>
    </font>
    <font>
      <b/>
      <sz val="9.0"/>
      <color rgb="FFFFFFFF"/>
      <name val="Arial"/>
    </font>
    <font>
      <b/>
      <sz val="9.0"/>
      <color rgb="FF075985"/>
      <name val="Arial"/>
    </font>
    <font>
      <b/>
      <sz val="9.0"/>
      <color rgb="FF111827"/>
      <name val="Arial"/>
    </font>
    <font>
      <sz val="9.0"/>
      <color rgb="FF374151"/>
      <name val="Arial"/>
    </font>
    <font>
      <b/>
      <sz val="9.0"/>
      <color rgb="FF1D4ED8"/>
      <name val="Arial"/>
    </font>
    <font>
      <b/>
      <sz val="9.0"/>
      <color rgb="FF15803D"/>
      <name val="Arial"/>
    </font>
    <font>
      <sz val="8.0"/>
      <color rgb="FF334155"/>
      <name val="Arial"/>
    </font>
    <font>
      <b/>
      <sz val="8.0"/>
      <color rgb="FF1D4ED8"/>
      <name val="Arial"/>
    </font>
    <font>
      <i/>
      <sz val="8.0"/>
      <color rgb="FF6B7280"/>
      <name val="Arial"/>
    </font>
    <font>
      <sz val="8.0"/>
      <color rgb="FF166534"/>
      <name val="Arial"/>
    </font>
    <font>
      <sz val="8.0"/>
      <color rgb="FF374151"/>
      <name val="Arial"/>
    </font>
    <font>
      <b/>
      <sz val="9.0"/>
      <color rgb="FF334155"/>
      <name val="Arial"/>
    </font>
    <font>
      <b/>
      <sz val="8.0"/>
      <color rgb="FF64748B"/>
      <name val="Arial"/>
    </font>
    <font>
      <b/>
      <sz val="8.0"/>
      <color rgb="FF854D0E"/>
      <name val="Arial"/>
    </font>
    <font>
      <b/>
      <sz val="8.0"/>
      <color rgb="FF991B1B"/>
      <name val="Arial"/>
    </font>
    <font>
      <b/>
      <sz val="8.0"/>
      <color rgb="FF334155"/>
      <name val="Arial"/>
    </font>
    <font>
      <b/>
      <sz val="8.0"/>
      <color rgb="FF166534"/>
      <name val="Arial"/>
    </font>
    <font>
      <b/>
      <sz val="8.0"/>
      <color rgb="FF92400E"/>
      <name val="Arial"/>
    </font>
    <font>
      <b/>
      <sz val="9.0"/>
      <color rgb="FF5B21B6"/>
      <name val="Arial"/>
    </font>
    <font>
      <b/>
      <sz val="8.0"/>
      <color rgb="FF075985"/>
      <name val="Arial"/>
    </font>
    <font>
      <b/>
      <sz val="9.0"/>
      <color rgb="FF9F1239"/>
      <name val="Arial"/>
    </font>
    <font>
      <b/>
      <sz val="9.0"/>
      <color rgb="FF92400E"/>
      <name val="Arial"/>
    </font>
    <font>
      <b/>
      <sz val="8.0"/>
      <color rgb="FF6B21A8"/>
      <name val="Arial"/>
    </font>
    <font>
      <b/>
      <sz val="10.0"/>
      <color rgb="FFFFFFFF"/>
      <name val="Arial"/>
    </font>
    <font>
      <sz val="11.0"/>
      <color theme="1"/>
      <name val="Calibri"/>
    </font>
    <font>
      <b/>
      <sz val="11.0"/>
      <color rgb="FFFFFFFF"/>
      <name val="Arial"/>
    </font>
    <font>
      <sz val="8.0"/>
      <color rgb="FF1D4ED8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1D4ED8"/>
        <bgColor rgb="FF1D4ED8"/>
      </patternFill>
    </fill>
    <fill>
      <patternFill patternType="solid">
        <fgColor rgb="FF7C3AED"/>
        <bgColor rgb="FF7C3AED"/>
      </patternFill>
    </fill>
    <fill>
      <patternFill patternType="solid">
        <fgColor rgb="FF0F766E"/>
        <bgColor rgb="FF0F766E"/>
      </patternFill>
    </fill>
    <fill>
      <patternFill patternType="solid">
        <fgColor rgb="FFB45309"/>
        <bgColor rgb="FFB45309"/>
      </patternFill>
    </fill>
    <fill>
      <patternFill patternType="solid">
        <fgColor rgb="FF374151"/>
        <bgColor rgb="FF374151"/>
      </patternFill>
    </fill>
    <fill>
      <patternFill patternType="solid">
        <fgColor rgb="FF475569"/>
        <bgColor rgb="FF475569"/>
      </patternFill>
    </fill>
    <fill>
      <patternFill patternType="solid">
        <fgColor rgb="FFE0F2FE"/>
        <bgColor rgb="FFE0F2FE"/>
      </patternFill>
    </fill>
    <fill>
      <patternFill patternType="solid">
        <fgColor rgb="FFFFFFFF"/>
        <bgColor rgb="FFFFFFFF"/>
      </patternFill>
    </fill>
    <fill>
      <patternFill patternType="solid">
        <fgColor rgb="FFEFF6FF"/>
        <bgColor rgb="FFEFF6FF"/>
      </patternFill>
    </fill>
    <fill>
      <patternFill patternType="solid">
        <fgColor rgb="FFF0FDF4"/>
        <bgColor rgb="FFF0FDF4"/>
      </patternFill>
    </fill>
    <fill>
      <patternFill patternType="solid">
        <fgColor rgb="FFF8FAFC"/>
        <bgColor rgb="FFF8FAFC"/>
      </patternFill>
    </fill>
    <fill>
      <patternFill patternType="solid">
        <fgColor rgb="FFFEF9C3"/>
        <bgColor rgb="FFFEF9C3"/>
      </patternFill>
    </fill>
    <fill>
      <patternFill patternType="solid">
        <fgColor rgb="FFFEE2E2"/>
        <bgColor rgb="FFFEE2E2"/>
      </patternFill>
    </fill>
    <fill>
      <patternFill patternType="solid">
        <fgColor rgb="FFF1F5F9"/>
        <bgColor rgb="FFF1F5F9"/>
      </patternFill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  <fill>
      <patternFill patternType="solid">
        <fgColor rgb="FFEDE9FE"/>
        <bgColor rgb="FFEDE9FE"/>
      </patternFill>
    </fill>
    <fill>
      <patternFill patternType="solid">
        <fgColor rgb="FFFFE4E6"/>
        <bgColor rgb="FFFFE4E6"/>
      </patternFill>
    </fill>
    <fill>
      <patternFill patternType="solid">
        <fgColor rgb="FFF3E8FF"/>
        <bgColor rgb="FFF3E8FF"/>
      </patternFill>
    </fill>
    <fill>
      <patternFill patternType="solid">
        <fgColor rgb="FFDBEAFE"/>
        <bgColor rgb="FFDBEAFE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E2E8F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4" fillId="8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4" fillId="6" fontId="5" numFmtId="0" xfId="0" applyAlignment="1" applyBorder="1" applyFont="1">
      <alignment horizontal="center" shrinkToFit="0" vertical="center" wrapText="1"/>
    </xf>
    <xf borderId="4" fillId="7" fontId="5" numFmtId="0" xfId="0" applyAlignment="1" applyBorder="1" applyFont="1">
      <alignment horizontal="center" shrinkToFit="0" vertical="center" wrapText="1"/>
    </xf>
    <xf borderId="4" fillId="7" fontId="5" numFmtId="0" xfId="0" applyAlignment="1" applyBorder="1" applyFont="1">
      <alignment horizontal="center" readingOrder="0" shrinkToFit="0" vertical="center" wrapText="1"/>
    </xf>
    <xf borderId="4" fillId="8" fontId="5" numFmtId="0" xfId="0" applyAlignment="1" applyBorder="1" applyFont="1">
      <alignment horizontal="center" shrinkToFit="0" vertical="center" wrapText="1"/>
    </xf>
    <xf borderId="5" fillId="9" fontId="5" numFmtId="0" xfId="0" applyAlignment="1" applyBorder="1" applyFill="1" applyFont="1">
      <alignment horizontal="center" shrinkToFit="0" vertical="center" wrapText="1"/>
    </xf>
    <xf borderId="5" fillId="10" fontId="6" numFmtId="0" xfId="0" applyAlignment="1" applyBorder="1" applyFill="1" applyFont="1">
      <alignment horizontal="left" shrinkToFit="0" vertical="center" wrapText="1"/>
    </xf>
    <xf borderId="5" fillId="11" fontId="7" numFmtId="0" xfId="0" applyAlignment="1" applyBorder="1" applyFill="1" applyFont="1">
      <alignment horizontal="left" shrinkToFit="0" vertical="center" wrapText="1"/>
    </xf>
    <xf borderId="5" fillId="11" fontId="8" numFmtId="0" xfId="0" applyAlignment="1" applyBorder="1" applyFont="1">
      <alignment horizontal="left" shrinkToFit="0" vertical="center" wrapText="1"/>
    </xf>
    <xf borderId="5" fillId="11" fontId="9" numFmtId="0" xfId="0" applyAlignment="1" applyBorder="1" applyFont="1">
      <alignment horizontal="center" shrinkToFit="0" vertical="center" wrapText="1"/>
    </xf>
    <xf borderId="5" fillId="11" fontId="10" numFmtId="0" xfId="0" applyAlignment="1" applyBorder="1" applyFont="1">
      <alignment horizontal="center" shrinkToFit="0" vertical="center" wrapText="1"/>
    </xf>
    <xf borderId="5" fillId="11" fontId="7" numFmtId="0" xfId="0" applyAlignment="1" applyBorder="1" applyFont="1">
      <alignment horizontal="center" shrinkToFit="0" vertical="center" wrapText="1"/>
    </xf>
    <xf borderId="5" fillId="11" fontId="11" numFmtId="0" xfId="0" applyAlignment="1" applyBorder="1" applyFont="1">
      <alignment horizontal="left" shrinkToFit="0" vertical="center" wrapText="1"/>
    </xf>
    <xf borderId="5" fillId="12" fontId="12" numFmtId="0" xfId="0" applyAlignment="1" applyBorder="1" applyFill="1" applyFont="1">
      <alignment horizontal="center" shrinkToFit="0" vertical="center" wrapText="1"/>
    </xf>
    <xf borderId="5" fillId="11" fontId="13" numFmtId="0" xfId="0" applyAlignment="1" applyBorder="1" applyFont="1">
      <alignment horizontal="left" shrinkToFit="0" vertical="center" wrapText="1"/>
    </xf>
    <xf borderId="5" fillId="13" fontId="14" numFmtId="0" xfId="0" applyAlignment="1" applyBorder="1" applyFill="1" applyFont="1">
      <alignment horizontal="left" shrinkToFit="0" vertical="center" wrapText="1"/>
    </xf>
    <xf borderId="5" fillId="11" fontId="15" numFmtId="0" xfId="0" applyAlignment="1" applyBorder="1" applyFont="1">
      <alignment horizontal="left" shrinkToFit="0" vertical="center" wrapText="1"/>
    </xf>
    <xf borderId="5" fillId="11" fontId="16" numFmtId="0" xfId="0" applyAlignment="1" applyBorder="1" applyFont="1">
      <alignment horizontal="center" shrinkToFit="0" vertical="center" wrapText="1"/>
    </xf>
    <xf borderId="5" fillId="14" fontId="17" numFmtId="0" xfId="0" applyAlignment="1" applyBorder="1" applyFill="1" applyFont="1">
      <alignment horizontal="center" shrinkToFit="0" vertical="center" wrapText="1"/>
    </xf>
    <xf borderId="5" fillId="15" fontId="18" numFmtId="0" xfId="0" applyAlignment="1" applyBorder="1" applyFill="1" applyFont="1">
      <alignment horizontal="center" shrinkToFit="0" vertical="center" wrapText="1"/>
    </xf>
    <xf borderId="5" fillId="16" fontId="19" numFmtId="0" xfId="0" applyAlignment="1" applyBorder="1" applyFill="1" applyFont="1">
      <alignment horizontal="center" shrinkToFit="0" vertical="center" wrapText="1"/>
    </xf>
    <xf borderId="5" fillId="17" fontId="20" numFmtId="0" xfId="0" applyAlignment="1" applyBorder="1" applyFill="1" applyFont="1">
      <alignment horizontal="center" shrinkToFit="0" vertical="center" wrapText="1"/>
    </xf>
    <xf borderId="5" fillId="18" fontId="21" numFmtId="0" xfId="0" applyAlignment="1" applyBorder="1" applyFill="1" applyFont="1">
      <alignment horizontal="center" shrinkToFit="0" vertical="center" wrapText="1"/>
    </xf>
    <xf borderId="5" fillId="19" fontId="22" numFmtId="0" xfId="0" applyAlignment="1" applyBorder="1" applyFill="1" applyFont="1">
      <alignment horizontal="center" shrinkToFit="0" vertical="center" wrapText="1"/>
    </xf>
    <xf borderId="5" fillId="14" fontId="7" numFmtId="0" xfId="0" applyAlignment="1" applyBorder="1" applyFont="1">
      <alignment horizontal="left" shrinkToFit="0" vertical="center" wrapText="1"/>
    </xf>
    <xf borderId="5" fillId="14" fontId="8" numFmtId="0" xfId="0" applyAlignment="1" applyBorder="1" applyFont="1">
      <alignment horizontal="left" shrinkToFit="0" vertical="center" wrapText="1"/>
    </xf>
    <xf borderId="5" fillId="14" fontId="9" numFmtId="0" xfId="0" applyAlignment="1" applyBorder="1" applyFont="1">
      <alignment horizontal="center" shrinkToFit="0" vertical="center" wrapText="1"/>
    </xf>
    <xf borderId="5" fillId="14" fontId="10" numFmtId="0" xfId="0" applyAlignment="1" applyBorder="1" applyFont="1">
      <alignment horizontal="center" shrinkToFit="0" vertical="center" wrapText="1"/>
    </xf>
    <xf borderId="5" fillId="14" fontId="7" numFmtId="0" xfId="0" applyAlignment="1" applyBorder="1" applyFont="1">
      <alignment horizontal="center" shrinkToFit="0" vertical="center" wrapText="1"/>
    </xf>
    <xf borderId="5" fillId="14" fontId="11" numFmtId="0" xfId="0" applyAlignment="1" applyBorder="1" applyFont="1">
      <alignment horizontal="left" shrinkToFit="0" vertical="center" wrapText="1"/>
    </xf>
    <xf borderId="5" fillId="14" fontId="13" numFmtId="0" xfId="0" applyAlignment="1" applyBorder="1" applyFont="1">
      <alignment horizontal="left" shrinkToFit="0" vertical="center" wrapText="1"/>
    </xf>
    <xf borderId="5" fillId="14" fontId="15" numFmtId="0" xfId="0" applyAlignment="1" applyBorder="1" applyFont="1">
      <alignment horizontal="left" shrinkToFit="0" vertical="center" wrapText="1"/>
    </xf>
    <xf borderId="5" fillId="14" fontId="16" numFmtId="0" xfId="0" applyAlignment="1" applyBorder="1" applyFont="1">
      <alignment horizontal="center" shrinkToFit="0" vertical="center" wrapText="1"/>
    </xf>
    <xf borderId="5" fillId="20" fontId="23" numFmtId="0" xfId="0" applyAlignment="1" applyBorder="1" applyFill="1" applyFont="1">
      <alignment horizontal="left" shrinkToFit="0" vertical="center" wrapText="1"/>
    </xf>
    <xf borderId="5" fillId="10" fontId="24" numFmtId="0" xfId="0" applyAlignment="1" applyBorder="1" applyFont="1">
      <alignment horizontal="center" shrinkToFit="0" vertical="center" wrapText="1"/>
    </xf>
    <xf borderId="5" fillId="21" fontId="25" numFmtId="0" xfId="0" applyAlignment="1" applyBorder="1" applyFill="1" applyFont="1">
      <alignment horizontal="left" shrinkToFit="0" vertical="center" wrapText="1"/>
    </xf>
    <xf borderId="5" fillId="19" fontId="26" numFmtId="0" xfId="0" applyAlignment="1" applyBorder="1" applyFont="1">
      <alignment horizontal="left" shrinkToFit="0" vertical="center" wrapText="1"/>
    </xf>
    <xf borderId="5" fillId="18" fontId="10" numFmtId="0" xfId="0" applyAlignment="1" applyBorder="1" applyFont="1">
      <alignment horizontal="left" shrinkToFit="0" vertical="center" wrapText="1"/>
    </xf>
    <xf borderId="5" fillId="22" fontId="27" numFmtId="0" xfId="0" applyAlignment="1" applyBorder="1" applyFill="1" applyFont="1">
      <alignment horizontal="center" shrinkToFit="0" vertical="center" wrapText="1"/>
    </xf>
    <xf borderId="5" fillId="23" fontId="9" numFmtId="0" xfId="0" applyAlignment="1" applyBorder="1" applyFill="1" applyFont="1">
      <alignment horizontal="left" shrinkToFit="0" vertical="center" wrapText="1"/>
    </xf>
    <xf borderId="1" fillId="2" fontId="28" numFmtId="0" xfId="0" applyAlignment="1" applyBorder="1" applyFont="1">
      <alignment horizontal="left" shrinkToFit="0" vertical="center" wrapText="1"/>
    </xf>
    <xf borderId="4" fillId="2" fontId="28" numFmtId="0" xfId="0" applyAlignment="1" applyBorder="1" applyFont="1">
      <alignment horizontal="center" shrinkToFit="0" vertical="center" wrapText="1"/>
    </xf>
    <xf borderId="4" fillId="2" fontId="29" numFmtId="0" xfId="0" applyAlignment="1" applyBorder="1" applyFont="1">
      <alignment shrinkToFit="0" vertical="center" wrapText="1"/>
    </xf>
    <xf borderId="4" fillId="3" fontId="5" numFmtId="0" xfId="0" applyAlignment="1" applyBorder="1" applyFont="1">
      <alignment horizontal="left" shrinkToFit="0" vertical="center" wrapText="1"/>
    </xf>
    <xf borderId="5" fillId="14" fontId="7" numFmtId="0" xfId="0" applyAlignment="1" applyBorder="1" applyFont="1">
      <alignment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5" fillId="14" fontId="8" numFmtId="0" xfId="0" applyAlignment="1" applyBorder="1" applyFont="1">
      <alignment shrinkToFit="0" vertical="center" wrapText="1"/>
    </xf>
    <xf borderId="5" fillId="14" fontId="13" numFmtId="0" xfId="0" applyAlignment="1" applyBorder="1" applyFont="1">
      <alignment shrinkToFit="0" vertical="center" wrapText="1"/>
    </xf>
    <xf borderId="5" fillId="11" fontId="7" numFmtId="0" xfId="0" applyAlignment="1" applyBorder="1" applyFont="1">
      <alignment shrinkToFit="0" vertical="center" wrapText="1"/>
    </xf>
    <xf borderId="5" fillId="11" fontId="8" numFmtId="0" xfId="0" applyAlignment="1" applyBorder="1" applyFont="1">
      <alignment shrinkToFit="0" vertical="center" wrapText="1"/>
    </xf>
    <xf borderId="5" fillId="11" fontId="13" numFmtId="0" xfId="0" applyAlignment="1" applyBorder="1" applyFont="1">
      <alignment shrinkToFit="0" vertical="center" wrapText="1"/>
    </xf>
    <xf borderId="5" fillId="4" fontId="4" numFmtId="0" xfId="0" applyAlignment="1" applyBorder="1" applyFont="1">
      <alignment horizontal="center" shrinkToFit="0" vertical="center" wrapText="1"/>
    </xf>
    <xf borderId="5" fillId="5" fontId="4" numFmtId="0" xfId="0" applyAlignment="1" applyBorder="1" applyFont="1">
      <alignment horizontal="center" shrinkToFit="0" vertical="center" wrapText="1"/>
    </xf>
    <xf borderId="5" fillId="6" fontId="4" numFmtId="0" xfId="0" applyAlignment="1" applyBorder="1" applyFont="1">
      <alignment horizontal="center" shrinkToFit="0" vertical="center" wrapText="1"/>
    </xf>
    <xf borderId="5" fillId="7" fontId="4" numFmtId="0" xfId="0" applyAlignment="1" applyBorder="1" applyFont="1">
      <alignment horizontal="center" shrinkToFit="0" vertical="center" wrapText="1"/>
    </xf>
    <xf borderId="5" fillId="14" fontId="7" numFmtId="0" xfId="0" applyAlignment="1" applyBorder="1" applyFont="1">
      <alignment readingOrder="0" shrinkToFit="0" vertical="center" wrapText="1"/>
    </xf>
    <xf borderId="5" fillId="8" fontId="4" numFmtId="0" xfId="0" applyAlignment="1" applyBorder="1" applyFont="1">
      <alignment horizontal="center" shrinkToFit="0" vertical="center" wrapText="1"/>
    </xf>
    <xf borderId="1" fillId="2" fontId="30" numFmtId="0" xfId="0" applyAlignment="1" applyBorder="1" applyFont="1">
      <alignment horizontal="left" shrinkToFit="0" vertical="center" wrapText="1"/>
    </xf>
    <xf quotePrefix="1" borderId="5" fillId="12" fontId="3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36.0"/>
    <col customWidth="1" min="4" max="4" width="52.0"/>
    <col customWidth="1" min="5" max="6" width="8.0"/>
    <col customWidth="1" min="7" max="7" width="9.0"/>
    <col customWidth="1" min="8" max="8" width="26.0"/>
    <col customWidth="1" min="9" max="9" width="18.0"/>
    <col customWidth="1" min="10" max="10" width="38.0"/>
    <col customWidth="1" min="11" max="12" width="22.0"/>
    <col customWidth="1" min="13" max="13" width="10.0"/>
    <col customWidth="1" min="14" max="14" width="12.0"/>
    <col customWidth="1" min="15" max="15" width="14.0"/>
    <col customWidth="1" min="16" max="17" width="18.0"/>
    <col customWidth="1" min="18" max="21" width="10.0"/>
    <col customWidth="1" min="22" max="22" width="46.0"/>
    <col customWidth="1" min="23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/>
      <c r="X1" s="4"/>
      <c r="Y1" s="4"/>
      <c r="Z1" s="4"/>
    </row>
    <row r="2" ht="39.75" customHeight="1">
      <c r="A2" s="5" t="s">
        <v>1</v>
      </c>
      <c r="B2" s="2"/>
      <c r="C2" s="2"/>
      <c r="D2" s="2"/>
      <c r="E2" s="2"/>
      <c r="F2" s="2"/>
      <c r="G2" s="3"/>
      <c r="H2" s="6" t="s">
        <v>2</v>
      </c>
      <c r="I2" s="2"/>
      <c r="J2" s="2"/>
      <c r="K2" s="3"/>
      <c r="L2" s="7" t="s">
        <v>3</v>
      </c>
      <c r="M2" s="2"/>
      <c r="N2" s="3"/>
      <c r="O2" s="8" t="s">
        <v>4</v>
      </c>
      <c r="P2" s="2"/>
      <c r="Q2" s="2"/>
      <c r="R2" s="3"/>
      <c r="S2" s="9" t="s">
        <v>5</v>
      </c>
      <c r="T2" s="2"/>
      <c r="U2" s="3"/>
      <c r="V2" s="10" t="s">
        <v>6</v>
      </c>
      <c r="W2" s="4"/>
      <c r="X2" s="4"/>
      <c r="Y2" s="4"/>
      <c r="Z2" s="4"/>
    </row>
    <row r="3" ht="36.0" customHeight="1">
      <c r="A3" s="11" t="s">
        <v>7</v>
      </c>
      <c r="B3" s="11" t="s">
        <v>8</v>
      </c>
      <c r="C3" s="11" t="s">
        <v>9</v>
      </c>
      <c r="D3" s="11" t="s">
        <v>10</v>
      </c>
      <c r="E3" s="11" t="s">
        <v>11</v>
      </c>
      <c r="F3" s="11" t="s">
        <v>12</v>
      </c>
      <c r="G3" s="11" t="s">
        <v>13</v>
      </c>
      <c r="H3" s="12" t="s">
        <v>14</v>
      </c>
      <c r="I3" s="12" t="s">
        <v>15</v>
      </c>
      <c r="J3" s="12" t="s">
        <v>16</v>
      </c>
      <c r="K3" s="12" t="s">
        <v>17</v>
      </c>
      <c r="L3" s="13" t="s">
        <v>18</v>
      </c>
      <c r="M3" s="13" t="s">
        <v>19</v>
      </c>
      <c r="N3" s="13" t="s">
        <v>20</v>
      </c>
      <c r="O3" s="14" t="s">
        <v>21</v>
      </c>
      <c r="P3" s="14" t="s">
        <v>22</v>
      </c>
      <c r="Q3" s="14" t="s">
        <v>23</v>
      </c>
      <c r="R3" s="14" t="s">
        <v>24</v>
      </c>
      <c r="S3" s="15" t="s">
        <v>25</v>
      </c>
      <c r="T3" s="15" t="s">
        <v>26</v>
      </c>
      <c r="U3" s="16" t="s">
        <v>27</v>
      </c>
      <c r="V3" s="17" t="s">
        <v>28</v>
      </c>
      <c r="W3" s="4"/>
      <c r="X3" s="4"/>
      <c r="Y3" s="4"/>
      <c r="Z3" s="4"/>
    </row>
    <row r="4" ht="43.5" customHeight="1">
      <c r="A4" s="18" t="s">
        <v>29</v>
      </c>
      <c r="B4" s="19" t="s">
        <v>30</v>
      </c>
      <c r="C4" s="20" t="s">
        <v>31</v>
      </c>
      <c r="D4" s="21" t="s">
        <v>32</v>
      </c>
      <c r="E4" s="22">
        <v>32.0</v>
      </c>
      <c r="F4" s="23">
        <v>0.0</v>
      </c>
      <c r="G4" s="24">
        <f t="shared" ref="G4:G48" si="1">E4+F4</f>
        <v>32</v>
      </c>
      <c r="H4" s="25" t="s">
        <v>33</v>
      </c>
      <c r="I4" s="26" t="s">
        <v>34</v>
      </c>
      <c r="J4" s="27" t="s">
        <v>35</v>
      </c>
      <c r="K4" s="28" t="s">
        <v>36</v>
      </c>
      <c r="L4" s="29" t="s">
        <v>37</v>
      </c>
      <c r="M4" s="30">
        <v>1.0</v>
      </c>
      <c r="N4" s="31" t="s">
        <v>38</v>
      </c>
      <c r="O4" s="32" t="s">
        <v>39</v>
      </c>
      <c r="P4" s="27"/>
      <c r="Q4" s="27" t="s">
        <v>40</v>
      </c>
      <c r="R4" s="33" t="s">
        <v>41</v>
      </c>
      <c r="S4" s="34" t="s">
        <v>42</v>
      </c>
      <c r="T4" s="35" t="s">
        <v>42</v>
      </c>
      <c r="U4" s="36" t="s">
        <v>43</v>
      </c>
      <c r="V4" s="27" t="s">
        <v>44</v>
      </c>
      <c r="W4" s="4"/>
      <c r="X4" s="4"/>
      <c r="Y4" s="4"/>
      <c r="Z4" s="4"/>
    </row>
    <row r="5" ht="43.5" customHeight="1">
      <c r="A5" s="18" t="s">
        <v>45</v>
      </c>
      <c r="B5" s="19" t="s">
        <v>30</v>
      </c>
      <c r="C5" s="37" t="s">
        <v>46</v>
      </c>
      <c r="D5" s="38" t="s">
        <v>47</v>
      </c>
      <c r="E5" s="39">
        <v>24.0</v>
      </c>
      <c r="F5" s="40">
        <v>0.0</v>
      </c>
      <c r="G5" s="41">
        <f t="shared" si="1"/>
        <v>24</v>
      </c>
      <c r="H5" s="42" t="s">
        <v>48</v>
      </c>
      <c r="I5" s="26" t="s">
        <v>34</v>
      </c>
      <c r="J5" s="43" t="s">
        <v>49</v>
      </c>
      <c r="K5" s="28" t="s">
        <v>36</v>
      </c>
      <c r="L5" s="44" t="s">
        <v>50</v>
      </c>
      <c r="M5" s="45">
        <v>1.0</v>
      </c>
      <c r="N5" s="31" t="s">
        <v>38</v>
      </c>
      <c r="O5" s="32" t="s">
        <v>39</v>
      </c>
      <c r="P5" s="43"/>
      <c r="Q5" s="43" t="s">
        <v>51</v>
      </c>
      <c r="R5" s="33" t="s">
        <v>41</v>
      </c>
      <c r="S5" s="34" t="s">
        <v>42</v>
      </c>
      <c r="T5" s="33" t="s">
        <v>52</v>
      </c>
      <c r="U5" s="36" t="s">
        <v>43</v>
      </c>
      <c r="V5" s="43" t="s">
        <v>53</v>
      </c>
      <c r="W5" s="4"/>
      <c r="X5" s="4"/>
      <c r="Y5" s="4"/>
      <c r="Z5" s="4"/>
    </row>
    <row r="6" ht="43.5" customHeight="1">
      <c r="A6" s="18" t="s">
        <v>54</v>
      </c>
      <c r="B6" s="19" t="s">
        <v>30</v>
      </c>
      <c r="C6" s="20" t="s">
        <v>55</v>
      </c>
      <c r="D6" s="21" t="s">
        <v>56</v>
      </c>
      <c r="E6" s="22">
        <v>8.0</v>
      </c>
      <c r="F6" s="23">
        <v>0.0</v>
      </c>
      <c r="G6" s="24">
        <f t="shared" si="1"/>
        <v>8</v>
      </c>
      <c r="H6" s="25" t="s">
        <v>57</v>
      </c>
      <c r="I6" s="26" t="s">
        <v>34</v>
      </c>
      <c r="J6" s="27" t="s">
        <v>58</v>
      </c>
      <c r="K6" s="28" t="s">
        <v>36</v>
      </c>
      <c r="L6" s="29" t="s">
        <v>50</v>
      </c>
      <c r="M6" s="30">
        <v>1.0</v>
      </c>
      <c r="N6" s="31" t="s">
        <v>38</v>
      </c>
      <c r="O6" s="32" t="s">
        <v>39</v>
      </c>
      <c r="P6" s="27"/>
      <c r="Q6" s="27" t="s">
        <v>59</v>
      </c>
      <c r="R6" s="33" t="s">
        <v>41</v>
      </c>
      <c r="S6" s="34" t="s">
        <v>42</v>
      </c>
      <c r="T6" s="36" t="s">
        <v>60</v>
      </c>
      <c r="U6" s="36" t="s">
        <v>43</v>
      </c>
      <c r="V6" s="27" t="s">
        <v>61</v>
      </c>
      <c r="W6" s="4"/>
      <c r="X6" s="4"/>
      <c r="Y6" s="4"/>
      <c r="Z6" s="4"/>
    </row>
    <row r="7" ht="43.5" customHeight="1">
      <c r="A7" s="18" t="s">
        <v>62</v>
      </c>
      <c r="B7" s="19" t="s">
        <v>30</v>
      </c>
      <c r="C7" s="37" t="s">
        <v>63</v>
      </c>
      <c r="D7" s="38" t="s">
        <v>64</v>
      </c>
      <c r="E7" s="39">
        <v>6.0</v>
      </c>
      <c r="F7" s="40">
        <v>0.0</v>
      </c>
      <c r="G7" s="41">
        <f t="shared" si="1"/>
        <v>6</v>
      </c>
      <c r="H7" s="42" t="s">
        <v>65</v>
      </c>
      <c r="I7" s="26" t="s">
        <v>34</v>
      </c>
      <c r="J7" s="43" t="s">
        <v>66</v>
      </c>
      <c r="K7" s="28" t="s">
        <v>36</v>
      </c>
      <c r="L7" s="44" t="s">
        <v>50</v>
      </c>
      <c r="M7" s="45">
        <v>1.0</v>
      </c>
      <c r="N7" s="31" t="s">
        <v>38</v>
      </c>
      <c r="O7" s="32" t="s">
        <v>39</v>
      </c>
      <c r="P7" s="43"/>
      <c r="Q7" s="43" t="s">
        <v>67</v>
      </c>
      <c r="R7" s="33" t="s">
        <v>41</v>
      </c>
      <c r="S7" s="34" t="s">
        <v>42</v>
      </c>
      <c r="T7" s="35" t="s">
        <v>42</v>
      </c>
      <c r="U7" s="36" t="s">
        <v>43</v>
      </c>
      <c r="V7" s="43" t="s">
        <v>68</v>
      </c>
      <c r="W7" s="4"/>
      <c r="X7" s="4"/>
      <c r="Y7" s="4"/>
      <c r="Z7" s="4"/>
    </row>
    <row r="8" ht="43.5" customHeight="1">
      <c r="A8" s="18" t="s">
        <v>69</v>
      </c>
      <c r="B8" s="19" t="s">
        <v>30</v>
      </c>
      <c r="C8" s="20" t="s">
        <v>70</v>
      </c>
      <c r="D8" s="21" t="s">
        <v>71</v>
      </c>
      <c r="E8" s="22">
        <v>16.0</v>
      </c>
      <c r="F8" s="23">
        <v>0.0</v>
      </c>
      <c r="G8" s="24">
        <f t="shared" si="1"/>
        <v>16</v>
      </c>
      <c r="H8" s="25" t="s">
        <v>72</v>
      </c>
      <c r="I8" s="26" t="s">
        <v>34</v>
      </c>
      <c r="J8" s="27" t="s">
        <v>73</v>
      </c>
      <c r="K8" s="28" t="s">
        <v>36</v>
      </c>
      <c r="L8" s="29" t="s">
        <v>50</v>
      </c>
      <c r="M8" s="30">
        <v>1.0</v>
      </c>
      <c r="N8" s="31" t="s">
        <v>38</v>
      </c>
      <c r="O8" s="32" t="s">
        <v>39</v>
      </c>
      <c r="P8" s="27"/>
      <c r="Q8" s="27" t="s">
        <v>74</v>
      </c>
      <c r="R8" s="33" t="s">
        <v>41</v>
      </c>
      <c r="S8" s="34" t="s">
        <v>42</v>
      </c>
      <c r="T8" s="36" t="s">
        <v>60</v>
      </c>
      <c r="U8" s="36" t="s">
        <v>43</v>
      </c>
      <c r="V8" s="27" t="s">
        <v>75</v>
      </c>
      <c r="W8" s="4"/>
      <c r="X8" s="4"/>
      <c r="Y8" s="4"/>
      <c r="Z8" s="4"/>
    </row>
    <row r="9" ht="43.5" customHeight="1">
      <c r="A9" s="18" t="s">
        <v>76</v>
      </c>
      <c r="B9" s="19" t="s">
        <v>30</v>
      </c>
      <c r="C9" s="37" t="s">
        <v>77</v>
      </c>
      <c r="D9" s="38" t="s">
        <v>78</v>
      </c>
      <c r="E9" s="39">
        <v>4.0</v>
      </c>
      <c r="F9" s="40">
        <v>0.0</v>
      </c>
      <c r="G9" s="41">
        <f t="shared" si="1"/>
        <v>4</v>
      </c>
      <c r="H9" s="42" t="s">
        <v>79</v>
      </c>
      <c r="I9" s="26" t="s">
        <v>34</v>
      </c>
      <c r="J9" s="43" t="s">
        <v>80</v>
      </c>
      <c r="K9" s="28" t="s">
        <v>81</v>
      </c>
      <c r="L9" s="44" t="s">
        <v>37</v>
      </c>
      <c r="M9" s="45">
        <v>1.0</v>
      </c>
      <c r="N9" s="31" t="s">
        <v>38</v>
      </c>
      <c r="O9" s="32" t="s">
        <v>39</v>
      </c>
      <c r="P9" s="43"/>
      <c r="Q9" s="43" t="s">
        <v>82</v>
      </c>
      <c r="R9" s="33" t="s">
        <v>41</v>
      </c>
      <c r="S9" s="34" t="s">
        <v>42</v>
      </c>
      <c r="T9" s="35" t="s">
        <v>42</v>
      </c>
      <c r="U9" s="36" t="s">
        <v>43</v>
      </c>
      <c r="V9" s="43" t="s">
        <v>83</v>
      </c>
      <c r="W9" s="4"/>
      <c r="X9" s="4"/>
      <c r="Y9" s="4"/>
      <c r="Z9" s="4"/>
    </row>
    <row r="10" ht="43.5" customHeight="1">
      <c r="A10" s="18" t="s">
        <v>84</v>
      </c>
      <c r="B10" s="46" t="s">
        <v>85</v>
      </c>
      <c r="C10" s="20" t="s">
        <v>86</v>
      </c>
      <c r="D10" s="21" t="s">
        <v>87</v>
      </c>
      <c r="E10" s="22">
        <v>24.0</v>
      </c>
      <c r="F10" s="23">
        <v>12.0</v>
      </c>
      <c r="G10" s="24">
        <f t="shared" si="1"/>
        <v>36</v>
      </c>
      <c r="H10" s="25" t="s">
        <v>88</v>
      </c>
      <c r="I10" s="26" t="s">
        <v>89</v>
      </c>
      <c r="J10" s="27" t="s">
        <v>90</v>
      </c>
      <c r="K10" s="28" t="s">
        <v>36</v>
      </c>
      <c r="L10" s="29" t="s">
        <v>50</v>
      </c>
      <c r="M10" s="30">
        <v>4.0</v>
      </c>
      <c r="N10" s="31" t="s">
        <v>38</v>
      </c>
      <c r="O10" s="32" t="s">
        <v>39</v>
      </c>
      <c r="P10" s="27" t="s">
        <v>54</v>
      </c>
      <c r="Q10" s="27" t="s">
        <v>91</v>
      </c>
      <c r="R10" s="33" t="s">
        <v>41</v>
      </c>
      <c r="S10" s="34" t="s">
        <v>42</v>
      </c>
      <c r="T10" s="33" t="s">
        <v>52</v>
      </c>
      <c r="U10" s="31" t="s">
        <v>41</v>
      </c>
      <c r="V10" s="27" t="s">
        <v>92</v>
      </c>
      <c r="W10" s="4"/>
      <c r="X10" s="4"/>
      <c r="Y10" s="4"/>
      <c r="Z10" s="4"/>
    </row>
    <row r="11" ht="43.5" customHeight="1">
      <c r="A11" s="18" t="s">
        <v>93</v>
      </c>
      <c r="B11" s="46" t="s">
        <v>85</v>
      </c>
      <c r="C11" s="37" t="s">
        <v>94</v>
      </c>
      <c r="D11" s="38" t="s">
        <v>95</v>
      </c>
      <c r="E11" s="39">
        <v>36.0</v>
      </c>
      <c r="F11" s="40">
        <v>0.0</v>
      </c>
      <c r="G11" s="41">
        <f t="shared" si="1"/>
        <v>36</v>
      </c>
      <c r="H11" s="42" t="s">
        <v>96</v>
      </c>
      <c r="I11" s="26" t="s">
        <v>97</v>
      </c>
      <c r="J11" s="43" t="s">
        <v>98</v>
      </c>
      <c r="K11" s="28" t="s">
        <v>36</v>
      </c>
      <c r="L11" s="44" t="s">
        <v>99</v>
      </c>
      <c r="M11" s="45">
        <v>3.0</v>
      </c>
      <c r="N11" s="33" t="s">
        <v>52</v>
      </c>
      <c r="O11" s="35" t="s">
        <v>100</v>
      </c>
      <c r="P11" s="43" t="s">
        <v>101</v>
      </c>
      <c r="Q11" s="43" t="s">
        <v>102</v>
      </c>
      <c r="R11" s="33" t="s">
        <v>41</v>
      </c>
      <c r="S11" s="47" t="s">
        <v>60</v>
      </c>
      <c r="T11" s="33" t="s">
        <v>52</v>
      </c>
      <c r="U11" s="31" t="s">
        <v>41</v>
      </c>
      <c r="V11" s="43" t="s">
        <v>103</v>
      </c>
      <c r="W11" s="4"/>
      <c r="X11" s="4"/>
      <c r="Y11" s="4"/>
      <c r="Z11" s="4"/>
    </row>
    <row r="12" ht="43.5" customHeight="1">
      <c r="A12" s="18" t="s">
        <v>104</v>
      </c>
      <c r="B12" s="46" t="s">
        <v>85</v>
      </c>
      <c r="C12" s="20" t="s">
        <v>105</v>
      </c>
      <c r="D12" s="21" t="s">
        <v>106</v>
      </c>
      <c r="E12" s="22">
        <v>24.0</v>
      </c>
      <c r="F12" s="23">
        <v>0.0</v>
      </c>
      <c r="G12" s="24">
        <f t="shared" si="1"/>
        <v>24</v>
      </c>
      <c r="H12" s="25" t="s">
        <v>96</v>
      </c>
      <c r="I12" s="26" t="s">
        <v>97</v>
      </c>
      <c r="J12" s="27" t="s">
        <v>107</v>
      </c>
      <c r="K12" s="28" t="s">
        <v>36</v>
      </c>
      <c r="L12" s="29" t="s">
        <v>50</v>
      </c>
      <c r="M12" s="30">
        <v>3.0</v>
      </c>
      <c r="N12" s="33" t="s">
        <v>52</v>
      </c>
      <c r="O12" s="35" t="s">
        <v>100</v>
      </c>
      <c r="P12" s="27" t="s">
        <v>101</v>
      </c>
      <c r="Q12" s="27" t="s">
        <v>108</v>
      </c>
      <c r="R12" s="33" t="s">
        <v>41</v>
      </c>
      <c r="S12" s="47" t="s">
        <v>60</v>
      </c>
      <c r="T12" s="33" t="s">
        <v>52</v>
      </c>
      <c r="U12" s="31" t="s">
        <v>41</v>
      </c>
      <c r="V12" s="27" t="s">
        <v>109</v>
      </c>
      <c r="W12" s="4"/>
      <c r="X12" s="4"/>
      <c r="Y12" s="4"/>
      <c r="Z12" s="4"/>
    </row>
    <row r="13" ht="43.5" customHeight="1">
      <c r="A13" s="18" t="s">
        <v>110</v>
      </c>
      <c r="B13" s="46" t="s">
        <v>85</v>
      </c>
      <c r="C13" s="37" t="s">
        <v>111</v>
      </c>
      <c r="D13" s="38" t="s">
        <v>112</v>
      </c>
      <c r="E13" s="39">
        <v>16.0</v>
      </c>
      <c r="F13" s="40">
        <v>0.0</v>
      </c>
      <c r="G13" s="41">
        <f t="shared" si="1"/>
        <v>16</v>
      </c>
      <c r="H13" s="42" t="s">
        <v>96</v>
      </c>
      <c r="I13" s="26" t="s">
        <v>97</v>
      </c>
      <c r="J13" s="43" t="s">
        <v>113</v>
      </c>
      <c r="K13" s="28" t="s">
        <v>36</v>
      </c>
      <c r="L13" s="44" t="s">
        <v>50</v>
      </c>
      <c r="M13" s="45">
        <v>3.0</v>
      </c>
      <c r="N13" s="31" t="s">
        <v>60</v>
      </c>
      <c r="O13" s="35" t="s">
        <v>100</v>
      </c>
      <c r="P13" s="43" t="s">
        <v>101</v>
      </c>
      <c r="Q13" s="43"/>
      <c r="R13" s="33" t="s">
        <v>41</v>
      </c>
      <c r="S13" s="47" t="s">
        <v>60</v>
      </c>
      <c r="T13" s="33" t="s">
        <v>52</v>
      </c>
      <c r="U13" s="31" t="s">
        <v>41</v>
      </c>
      <c r="V13" s="43" t="s">
        <v>114</v>
      </c>
      <c r="W13" s="4"/>
      <c r="X13" s="4"/>
      <c r="Y13" s="4"/>
      <c r="Z13" s="4"/>
    </row>
    <row r="14" ht="43.5" customHeight="1">
      <c r="A14" s="18" t="s">
        <v>115</v>
      </c>
      <c r="B14" s="48" t="s">
        <v>116</v>
      </c>
      <c r="C14" s="20" t="s">
        <v>117</v>
      </c>
      <c r="D14" s="21" t="s">
        <v>118</v>
      </c>
      <c r="E14" s="22">
        <v>20.0</v>
      </c>
      <c r="F14" s="23">
        <v>0.0</v>
      </c>
      <c r="G14" s="24">
        <f t="shared" si="1"/>
        <v>20</v>
      </c>
      <c r="H14" s="25" t="s">
        <v>119</v>
      </c>
      <c r="I14" s="26" t="s">
        <v>120</v>
      </c>
      <c r="J14" s="27" t="s">
        <v>121</v>
      </c>
      <c r="K14" s="28" t="s">
        <v>36</v>
      </c>
      <c r="L14" s="29" t="s">
        <v>50</v>
      </c>
      <c r="M14" s="30">
        <v>2.0</v>
      </c>
      <c r="N14" s="33" t="s">
        <v>52</v>
      </c>
      <c r="O14" s="35" t="s">
        <v>100</v>
      </c>
      <c r="P14" s="27" t="s">
        <v>69</v>
      </c>
      <c r="Q14" s="27" t="s">
        <v>122</v>
      </c>
      <c r="R14" s="33" t="s">
        <v>41</v>
      </c>
      <c r="S14" s="47" t="s">
        <v>60</v>
      </c>
      <c r="T14" s="36" t="s">
        <v>60</v>
      </c>
      <c r="U14" s="31" t="s">
        <v>41</v>
      </c>
      <c r="V14" s="27" t="s">
        <v>123</v>
      </c>
      <c r="W14" s="4"/>
      <c r="X14" s="4"/>
      <c r="Y14" s="4"/>
      <c r="Z14" s="4"/>
    </row>
    <row r="15" ht="43.5" customHeight="1">
      <c r="A15" s="18" t="s">
        <v>124</v>
      </c>
      <c r="B15" s="48" t="s">
        <v>116</v>
      </c>
      <c r="C15" s="37" t="s">
        <v>125</v>
      </c>
      <c r="D15" s="38" t="s">
        <v>126</v>
      </c>
      <c r="E15" s="39">
        <v>32.0</v>
      </c>
      <c r="F15" s="40">
        <v>0.0</v>
      </c>
      <c r="G15" s="41">
        <f t="shared" si="1"/>
        <v>32</v>
      </c>
      <c r="H15" s="42" t="s">
        <v>72</v>
      </c>
      <c r="I15" s="26" t="s">
        <v>127</v>
      </c>
      <c r="J15" s="43" t="s">
        <v>128</v>
      </c>
      <c r="K15" s="28" t="s">
        <v>36</v>
      </c>
      <c r="L15" s="44" t="s">
        <v>50</v>
      </c>
      <c r="M15" s="45">
        <v>1.0</v>
      </c>
      <c r="N15" s="33" t="s">
        <v>52</v>
      </c>
      <c r="O15" s="35" t="s">
        <v>100</v>
      </c>
      <c r="P15" s="43" t="s">
        <v>115</v>
      </c>
      <c r="Q15" s="43" t="s">
        <v>129</v>
      </c>
      <c r="R15" s="33" t="s">
        <v>41</v>
      </c>
      <c r="S15" s="47" t="s">
        <v>60</v>
      </c>
      <c r="T15" s="33" t="s">
        <v>52</v>
      </c>
      <c r="U15" s="31" t="s">
        <v>41</v>
      </c>
      <c r="V15" s="43" t="s">
        <v>130</v>
      </c>
      <c r="W15" s="4"/>
      <c r="X15" s="4"/>
      <c r="Y15" s="4"/>
      <c r="Z15" s="4"/>
    </row>
    <row r="16" ht="43.5" customHeight="1">
      <c r="A16" s="18" t="s">
        <v>129</v>
      </c>
      <c r="B16" s="48" t="s">
        <v>116</v>
      </c>
      <c r="C16" s="20" t="s">
        <v>131</v>
      </c>
      <c r="D16" s="21" t="s">
        <v>132</v>
      </c>
      <c r="E16" s="22">
        <v>16.0</v>
      </c>
      <c r="F16" s="23">
        <v>0.0</v>
      </c>
      <c r="G16" s="24">
        <f t="shared" si="1"/>
        <v>16</v>
      </c>
      <c r="H16" s="25" t="s">
        <v>72</v>
      </c>
      <c r="I16" s="26" t="s">
        <v>133</v>
      </c>
      <c r="J16" s="27" t="s">
        <v>134</v>
      </c>
      <c r="K16" s="28" t="s">
        <v>36</v>
      </c>
      <c r="L16" s="29" t="s">
        <v>50</v>
      </c>
      <c r="M16" s="30">
        <v>1.0</v>
      </c>
      <c r="N16" s="33" t="s">
        <v>52</v>
      </c>
      <c r="O16" s="35" t="s">
        <v>100</v>
      </c>
      <c r="P16" s="27" t="s">
        <v>124</v>
      </c>
      <c r="Q16" s="27" t="s">
        <v>135</v>
      </c>
      <c r="R16" s="33" t="s">
        <v>41</v>
      </c>
      <c r="S16" s="35" t="s">
        <v>52</v>
      </c>
      <c r="T16" s="36" t="s">
        <v>60</v>
      </c>
      <c r="U16" s="31" t="s">
        <v>41</v>
      </c>
      <c r="V16" s="27" t="s">
        <v>136</v>
      </c>
      <c r="W16" s="4"/>
      <c r="X16" s="4"/>
      <c r="Y16" s="4"/>
      <c r="Z16" s="4"/>
    </row>
    <row r="17" ht="43.5" customHeight="1">
      <c r="A17" s="18" t="s">
        <v>135</v>
      </c>
      <c r="B17" s="48" t="s">
        <v>116</v>
      </c>
      <c r="C17" s="37" t="s">
        <v>137</v>
      </c>
      <c r="D17" s="38" t="s">
        <v>138</v>
      </c>
      <c r="E17" s="39">
        <v>16.0</v>
      </c>
      <c r="F17" s="40">
        <v>0.0</v>
      </c>
      <c r="G17" s="41">
        <f t="shared" si="1"/>
        <v>16</v>
      </c>
      <c r="H17" s="42" t="s">
        <v>139</v>
      </c>
      <c r="I17" s="26" t="s">
        <v>140</v>
      </c>
      <c r="J17" s="43" t="s">
        <v>141</v>
      </c>
      <c r="K17" s="28" t="s">
        <v>36</v>
      </c>
      <c r="L17" s="44" t="s">
        <v>50</v>
      </c>
      <c r="M17" s="45">
        <v>3.0</v>
      </c>
      <c r="N17" s="33" t="s">
        <v>52</v>
      </c>
      <c r="O17" s="35" t="s">
        <v>100</v>
      </c>
      <c r="P17" s="43" t="s">
        <v>142</v>
      </c>
      <c r="Q17" s="43" t="s">
        <v>143</v>
      </c>
      <c r="R17" s="33" t="s">
        <v>41</v>
      </c>
      <c r="S17" s="47" t="s">
        <v>60</v>
      </c>
      <c r="T17" s="36" t="s">
        <v>60</v>
      </c>
      <c r="U17" s="31" t="s">
        <v>41</v>
      </c>
      <c r="V17" s="43" t="s">
        <v>144</v>
      </c>
      <c r="W17" s="4"/>
      <c r="X17" s="4"/>
      <c r="Y17" s="4"/>
      <c r="Z17" s="4"/>
    </row>
    <row r="18" ht="43.5" customHeight="1">
      <c r="A18" s="18" t="s">
        <v>145</v>
      </c>
      <c r="B18" s="49" t="s">
        <v>146</v>
      </c>
      <c r="C18" s="20" t="s">
        <v>147</v>
      </c>
      <c r="D18" s="21" t="s">
        <v>148</v>
      </c>
      <c r="E18" s="22">
        <v>16.0</v>
      </c>
      <c r="F18" s="23">
        <v>0.0</v>
      </c>
      <c r="G18" s="24">
        <f t="shared" si="1"/>
        <v>16</v>
      </c>
      <c r="H18" s="25" t="s">
        <v>33</v>
      </c>
      <c r="I18" s="26" t="s">
        <v>149</v>
      </c>
      <c r="J18" s="27" t="s">
        <v>150</v>
      </c>
      <c r="K18" s="28" t="s">
        <v>81</v>
      </c>
      <c r="L18" s="29" t="s">
        <v>37</v>
      </c>
      <c r="M18" s="30">
        <v>1.0</v>
      </c>
      <c r="N18" s="31" t="s">
        <v>38</v>
      </c>
      <c r="O18" s="35" t="s">
        <v>100</v>
      </c>
      <c r="P18" s="27" t="s">
        <v>29</v>
      </c>
      <c r="Q18" s="27" t="s">
        <v>151</v>
      </c>
      <c r="R18" s="33" t="s">
        <v>41</v>
      </c>
      <c r="S18" s="47" t="s">
        <v>60</v>
      </c>
      <c r="T18" s="35" t="s">
        <v>42</v>
      </c>
      <c r="U18" s="31" t="s">
        <v>41</v>
      </c>
      <c r="V18" s="27" t="s">
        <v>152</v>
      </c>
      <c r="W18" s="4"/>
      <c r="X18" s="4"/>
      <c r="Y18" s="4"/>
      <c r="Z18" s="4"/>
    </row>
    <row r="19" ht="43.5" customHeight="1">
      <c r="A19" s="18" t="s">
        <v>153</v>
      </c>
      <c r="B19" s="49" t="s">
        <v>146</v>
      </c>
      <c r="C19" s="37" t="s">
        <v>154</v>
      </c>
      <c r="D19" s="38" t="s">
        <v>155</v>
      </c>
      <c r="E19" s="39">
        <v>12.0</v>
      </c>
      <c r="F19" s="40">
        <v>12.0</v>
      </c>
      <c r="G19" s="41">
        <f t="shared" si="1"/>
        <v>24</v>
      </c>
      <c r="H19" s="42" t="s">
        <v>156</v>
      </c>
      <c r="I19" s="26" t="s">
        <v>157</v>
      </c>
      <c r="J19" s="43" t="s">
        <v>158</v>
      </c>
      <c r="K19" s="28" t="s">
        <v>36</v>
      </c>
      <c r="L19" s="44" t="s">
        <v>37</v>
      </c>
      <c r="M19" s="45">
        <v>1.0</v>
      </c>
      <c r="N19" s="31" t="s">
        <v>38</v>
      </c>
      <c r="O19" s="35" t="s">
        <v>100</v>
      </c>
      <c r="P19" s="43" t="s">
        <v>159</v>
      </c>
      <c r="Q19" s="43" t="s">
        <v>160</v>
      </c>
      <c r="R19" s="33" t="s">
        <v>41</v>
      </c>
      <c r="S19" s="47" t="s">
        <v>60</v>
      </c>
      <c r="T19" s="36" t="s">
        <v>60</v>
      </c>
      <c r="U19" s="31" t="s">
        <v>41</v>
      </c>
      <c r="V19" s="43" t="s">
        <v>161</v>
      </c>
      <c r="W19" s="4"/>
      <c r="X19" s="4"/>
      <c r="Y19" s="4"/>
      <c r="Z19" s="4"/>
    </row>
    <row r="20" ht="43.5" customHeight="1">
      <c r="A20" s="18" t="s">
        <v>162</v>
      </c>
      <c r="B20" s="49" t="s">
        <v>146</v>
      </c>
      <c r="C20" s="20" t="s">
        <v>163</v>
      </c>
      <c r="D20" s="21" t="s">
        <v>164</v>
      </c>
      <c r="E20" s="22">
        <v>8.0</v>
      </c>
      <c r="F20" s="23">
        <v>12.0</v>
      </c>
      <c r="G20" s="24">
        <f t="shared" si="1"/>
        <v>20</v>
      </c>
      <c r="H20" s="25" t="s">
        <v>33</v>
      </c>
      <c r="I20" s="26" t="s">
        <v>165</v>
      </c>
      <c r="J20" s="27" t="s">
        <v>166</v>
      </c>
      <c r="K20" s="28" t="s">
        <v>167</v>
      </c>
      <c r="L20" s="29" t="s">
        <v>37</v>
      </c>
      <c r="M20" s="30">
        <v>1.0</v>
      </c>
      <c r="N20" s="31" t="s">
        <v>38</v>
      </c>
      <c r="O20" s="35" t="s">
        <v>100</v>
      </c>
      <c r="P20" s="27" t="s">
        <v>153</v>
      </c>
      <c r="Q20" s="27"/>
      <c r="R20" s="35" t="s">
        <v>43</v>
      </c>
      <c r="S20" s="35" t="s">
        <v>52</v>
      </c>
      <c r="T20" s="35" t="s">
        <v>42</v>
      </c>
      <c r="U20" s="31" t="s">
        <v>41</v>
      </c>
      <c r="V20" s="27" t="s">
        <v>168</v>
      </c>
      <c r="W20" s="4"/>
      <c r="X20" s="4"/>
      <c r="Y20" s="4"/>
      <c r="Z20" s="4"/>
    </row>
    <row r="21" ht="43.5" customHeight="1">
      <c r="A21" s="18" t="s">
        <v>169</v>
      </c>
      <c r="B21" s="49" t="s">
        <v>146</v>
      </c>
      <c r="C21" s="37" t="s">
        <v>170</v>
      </c>
      <c r="D21" s="38" t="s">
        <v>171</v>
      </c>
      <c r="E21" s="39">
        <v>18.0</v>
      </c>
      <c r="F21" s="40">
        <v>18.0</v>
      </c>
      <c r="G21" s="41">
        <f t="shared" si="1"/>
        <v>36</v>
      </c>
      <c r="H21" s="42" t="s">
        <v>172</v>
      </c>
      <c r="I21" s="26" t="s">
        <v>165</v>
      </c>
      <c r="J21" s="43" t="s">
        <v>173</v>
      </c>
      <c r="K21" s="28" t="s">
        <v>167</v>
      </c>
      <c r="L21" s="44" t="s">
        <v>37</v>
      </c>
      <c r="M21" s="45">
        <v>2.0</v>
      </c>
      <c r="N21" s="31" t="s">
        <v>38</v>
      </c>
      <c r="O21" s="35" t="s">
        <v>100</v>
      </c>
      <c r="P21" s="43" t="s">
        <v>153</v>
      </c>
      <c r="Q21" s="43"/>
      <c r="R21" s="35" t="s">
        <v>43</v>
      </c>
      <c r="S21" s="35" t="s">
        <v>52</v>
      </c>
      <c r="T21" s="36" t="s">
        <v>60</v>
      </c>
      <c r="U21" s="31" t="s">
        <v>41</v>
      </c>
      <c r="V21" s="43" t="s">
        <v>174</v>
      </c>
      <c r="W21" s="4"/>
      <c r="X21" s="4"/>
      <c r="Y21" s="4"/>
      <c r="Z21" s="4"/>
    </row>
    <row r="22" ht="43.5" customHeight="1">
      <c r="A22" s="18" t="s">
        <v>175</v>
      </c>
      <c r="B22" s="49" t="s">
        <v>146</v>
      </c>
      <c r="C22" s="20" t="s">
        <v>176</v>
      </c>
      <c r="D22" s="21" t="s">
        <v>177</v>
      </c>
      <c r="E22" s="22">
        <v>0.0</v>
      </c>
      <c r="F22" s="23">
        <v>32.0</v>
      </c>
      <c r="G22" s="24">
        <f t="shared" si="1"/>
        <v>32</v>
      </c>
      <c r="H22" s="25" t="s">
        <v>33</v>
      </c>
      <c r="I22" s="26" t="s">
        <v>165</v>
      </c>
      <c r="J22" s="27" t="s">
        <v>178</v>
      </c>
      <c r="K22" s="28" t="s">
        <v>167</v>
      </c>
      <c r="L22" s="29" t="s">
        <v>37</v>
      </c>
      <c r="M22" s="30">
        <v>1.0</v>
      </c>
      <c r="N22" s="31" t="s">
        <v>38</v>
      </c>
      <c r="O22" s="35" t="s">
        <v>100</v>
      </c>
      <c r="P22" s="27" t="s">
        <v>153</v>
      </c>
      <c r="Q22" s="27"/>
      <c r="R22" s="35" t="s">
        <v>43</v>
      </c>
      <c r="S22" s="35" t="s">
        <v>52</v>
      </c>
      <c r="T22" s="35" t="s">
        <v>42</v>
      </c>
      <c r="U22" s="31" t="s">
        <v>41</v>
      </c>
      <c r="V22" s="27" t="s">
        <v>179</v>
      </c>
      <c r="W22" s="4"/>
      <c r="X22" s="4"/>
      <c r="Y22" s="4"/>
      <c r="Z22" s="4"/>
    </row>
    <row r="23" ht="43.5" customHeight="1">
      <c r="A23" s="18" t="s">
        <v>180</v>
      </c>
      <c r="B23" s="49" t="s">
        <v>146</v>
      </c>
      <c r="C23" s="37" t="s">
        <v>181</v>
      </c>
      <c r="D23" s="38" t="s">
        <v>182</v>
      </c>
      <c r="E23" s="39">
        <v>0.0</v>
      </c>
      <c r="F23" s="40">
        <v>18.0</v>
      </c>
      <c r="G23" s="41">
        <f t="shared" si="1"/>
        <v>18</v>
      </c>
      <c r="H23" s="42" t="s">
        <v>33</v>
      </c>
      <c r="I23" s="26" t="s">
        <v>183</v>
      </c>
      <c r="J23" s="43" t="s">
        <v>184</v>
      </c>
      <c r="K23" s="28" t="s">
        <v>167</v>
      </c>
      <c r="L23" s="44" t="s">
        <v>37</v>
      </c>
      <c r="M23" s="45">
        <v>1.0</v>
      </c>
      <c r="N23" s="31" t="s">
        <v>38</v>
      </c>
      <c r="O23" s="35" t="s">
        <v>100</v>
      </c>
      <c r="P23" s="43" t="s">
        <v>153</v>
      </c>
      <c r="Q23" s="43"/>
      <c r="R23" s="35" t="s">
        <v>43</v>
      </c>
      <c r="S23" s="35" t="s">
        <v>52</v>
      </c>
      <c r="T23" s="35" t="s">
        <v>42</v>
      </c>
      <c r="U23" s="31" t="s">
        <v>41</v>
      </c>
      <c r="V23" s="43" t="s">
        <v>185</v>
      </c>
      <c r="W23" s="4"/>
      <c r="X23" s="4"/>
      <c r="Y23" s="4"/>
      <c r="Z23" s="4"/>
    </row>
    <row r="24" ht="43.5" customHeight="1">
      <c r="A24" s="18" t="s">
        <v>48</v>
      </c>
      <c r="B24" s="49" t="s">
        <v>146</v>
      </c>
      <c r="C24" s="20" t="s">
        <v>186</v>
      </c>
      <c r="D24" s="21" t="s">
        <v>187</v>
      </c>
      <c r="E24" s="22">
        <v>10.0</v>
      </c>
      <c r="F24" s="23">
        <v>8.0</v>
      </c>
      <c r="G24" s="24">
        <f t="shared" si="1"/>
        <v>18</v>
      </c>
      <c r="H24" s="25" t="s">
        <v>188</v>
      </c>
      <c r="I24" s="26" t="s">
        <v>189</v>
      </c>
      <c r="J24" s="27" t="s">
        <v>190</v>
      </c>
      <c r="K24" s="28" t="s">
        <v>191</v>
      </c>
      <c r="L24" s="29" t="s">
        <v>37</v>
      </c>
      <c r="M24" s="30">
        <v>2.0</v>
      </c>
      <c r="N24" s="31" t="s">
        <v>38</v>
      </c>
      <c r="O24" s="35" t="s">
        <v>100</v>
      </c>
      <c r="P24" s="27" t="s">
        <v>76</v>
      </c>
      <c r="Q24" s="27"/>
      <c r="R24" s="35" t="s">
        <v>43</v>
      </c>
      <c r="S24" s="35" t="s">
        <v>52</v>
      </c>
      <c r="T24" s="35" t="s">
        <v>42</v>
      </c>
      <c r="U24" s="31" t="s">
        <v>41</v>
      </c>
      <c r="V24" s="27" t="s">
        <v>192</v>
      </c>
      <c r="W24" s="4"/>
      <c r="X24" s="4"/>
      <c r="Y24" s="4"/>
      <c r="Z24" s="4"/>
    </row>
    <row r="25" ht="43.5" customHeight="1">
      <c r="A25" s="18" t="s">
        <v>82</v>
      </c>
      <c r="B25" s="49" t="s">
        <v>146</v>
      </c>
      <c r="C25" s="37" t="s">
        <v>193</v>
      </c>
      <c r="D25" s="38" t="s">
        <v>194</v>
      </c>
      <c r="E25" s="39">
        <v>14.0</v>
      </c>
      <c r="F25" s="40">
        <v>0.0</v>
      </c>
      <c r="G25" s="41">
        <f t="shared" si="1"/>
        <v>14</v>
      </c>
      <c r="H25" s="42" t="s">
        <v>195</v>
      </c>
      <c r="I25" s="26" t="s">
        <v>196</v>
      </c>
      <c r="J25" s="43" t="s">
        <v>197</v>
      </c>
      <c r="K25" s="28" t="s">
        <v>36</v>
      </c>
      <c r="L25" s="44" t="s">
        <v>37</v>
      </c>
      <c r="M25" s="45">
        <v>1.0</v>
      </c>
      <c r="N25" s="33" t="s">
        <v>52</v>
      </c>
      <c r="O25" s="35" t="s">
        <v>100</v>
      </c>
      <c r="P25" s="43"/>
      <c r="Q25" s="43"/>
      <c r="R25" s="35" t="s">
        <v>43</v>
      </c>
      <c r="S25" s="35" t="s">
        <v>52</v>
      </c>
      <c r="T25" s="35" t="s">
        <v>42</v>
      </c>
      <c r="U25" s="31" t="s">
        <v>41</v>
      </c>
      <c r="V25" s="43" t="s">
        <v>198</v>
      </c>
      <c r="W25" s="4"/>
      <c r="X25" s="4"/>
      <c r="Y25" s="4"/>
      <c r="Z25" s="4"/>
    </row>
    <row r="26" ht="43.5" customHeight="1">
      <c r="A26" s="18" t="s">
        <v>199</v>
      </c>
      <c r="B26" s="49" t="s">
        <v>146</v>
      </c>
      <c r="C26" s="20" t="s">
        <v>200</v>
      </c>
      <c r="D26" s="21" t="s">
        <v>201</v>
      </c>
      <c r="E26" s="22">
        <v>12.0</v>
      </c>
      <c r="F26" s="23">
        <v>18.0</v>
      </c>
      <c r="G26" s="24">
        <f t="shared" si="1"/>
        <v>30</v>
      </c>
      <c r="H26" s="25" t="s">
        <v>202</v>
      </c>
      <c r="I26" s="26" t="s">
        <v>196</v>
      </c>
      <c r="J26" s="27" t="s">
        <v>203</v>
      </c>
      <c r="K26" s="28" t="s">
        <v>81</v>
      </c>
      <c r="L26" s="29" t="s">
        <v>37</v>
      </c>
      <c r="M26" s="30">
        <v>1.0</v>
      </c>
      <c r="N26" s="31" t="s">
        <v>38</v>
      </c>
      <c r="O26" s="35" t="s">
        <v>100</v>
      </c>
      <c r="P26" s="27"/>
      <c r="Q26" s="27"/>
      <c r="R26" s="35" t="s">
        <v>43</v>
      </c>
      <c r="S26" s="35" t="s">
        <v>52</v>
      </c>
      <c r="T26" s="35" t="s">
        <v>42</v>
      </c>
      <c r="U26" s="31" t="s">
        <v>41</v>
      </c>
      <c r="V26" s="27" t="s">
        <v>204</v>
      </c>
      <c r="W26" s="4"/>
      <c r="X26" s="4"/>
      <c r="Y26" s="4"/>
      <c r="Z26" s="4"/>
    </row>
    <row r="27" ht="43.5" customHeight="1">
      <c r="A27" s="18" t="s">
        <v>205</v>
      </c>
      <c r="B27" s="49" t="s">
        <v>146</v>
      </c>
      <c r="C27" s="37" t="s">
        <v>206</v>
      </c>
      <c r="D27" s="38" t="s">
        <v>207</v>
      </c>
      <c r="E27" s="39">
        <v>18.0</v>
      </c>
      <c r="F27" s="40">
        <v>6.0</v>
      </c>
      <c r="G27" s="41">
        <f t="shared" si="1"/>
        <v>24</v>
      </c>
      <c r="H27" s="42" t="s">
        <v>195</v>
      </c>
      <c r="I27" s="26" t="s">
        <v>89</v>
      </c>
      <c r="J27" s="43" t="s">
        <v>208</v>
      </c>
      <c r="K27" s="28" t="s">
        <v>36</v>
      </c>
      <c r="L27" s="44" t="s">
        <v>99</v>
      </c>
      <c r="M27" s="45">
        <v>1.0</v>
      </c>
      <c r="N27" s="33" t="s">
        <v>52</v>
      </c>
      <c r="O27" s="35" t="s">
        <v>100</v>
      </c>
      <c r="P27" s="43" t="s">
        <v>45</v>
      </c>
      <c r="Q27" s="43"/>
      <c r="R27" s="33" t="s">
        <v>41</v>
      </c>
      <c r="S27" s="47" t="s">
        <v>60</v>
      </c>
      <c r="T27" s="33" t="s">
        <v>52</v>
      </c>
      <c r="U27" s="31" t="s">
        <v>41</v>
      </c>
      <c r="V27" s="43" t="s">
        <v>209</v>
      </c>
      <c r="W27" s="4"/>
      <c r="X27" s="4"/>
      <c r="Y27" s="4"/>
      <c r="Z27" s="4"/>
    </row>
    <row r="28" ht="43.5" customHeight="1">
      <c r="A28" s="18" t="s">
        <v>210</v>
      </c>
      <c r="B28" s="49" t="s">
        <v>146</v>
      </c>
      <c r="C28" s="20" t="s">
        <v>211</v>
      </c>
      <c r="D28" s="21" t="s">
        <v>212</v>
      </c>
      <c r="E28" s="22">
        <v>24.0</v>
      </c>
      <c r="F28" s="23">
        <v>0.0</v>
      </c>
      <c r="G28" s="24">
        <f t="shared" si="1"/>
        <v>24</v>
      </c>
      <c r="H28" s="25" t="s">
        <v>195</v>
      </c>
      <c r="I28" s="26" t="s">
        <v>127</v>
      </c>
      <c r="J28" s="27" t="s">
        <v>213</v>
      </c>
      <c r="K28" s="28" t="s">
        <v>36</v>
      </c>
      <c r="L28" s="29" t="s">
        <v>50</v>
      </c>
      <c r="M28" s="30">
        <v>1.0</v>
      </c>
      <c r="N28" s="33" t="s">
        <v>52</v>
      </c>
      <c r="O28" s="35" t="s">
        <v>100</v>
      </c>
      <c r="P28" s="27"/>
      <c r="Q28" s="27" t="s">
        <v>205</v>
      </c>
      <c r="R28" s="33" t="s">
        <v>41</v>
      </c>
      <c r="S28" s="35" t="s">
        <v>52</v>
      </c>
      <c r="T28" s="36" t="s">
        <v>60</v>
      </c>
      <c r="U28" s="31" t="s">
        <v>41</v>
      </c>
      <c r="V28" s="27" t="s">
        <v>214</v>
      </c>
      <c r="W28" s="4"/>
      <c r="X28" s="4"/>
      <c r="Y28" s="4"/>
      <c r="Z28" s="4"/>
    </row>
    <row r="29" ht="43.5" customHeight="1">
      <c r="A29" s="18" t="s">
        <v>215</v>
      </c>
      <c r="B29" s="50" t="s">
        <v>216</v>
      </c>
      <c r="C29" s="37" t="s">
        <v>217</v>
      </c>
      <c r="D29" s="38" t="s">
        <v>218</v>
      </c>
      <c r="E29" s="39">
        <v>14.0</v>
      </c>
      <c r="F29" s="40">
        <v>8.0</v>
      </c>
      <c r="G29" s="41">
        <f t="shared" si="1"/>
        <v>22</v>
      </c>
      <c r="H29" s="42" t="s">
        <v>219</v>
      </c>
      <c r="I29" s="26" t="s">
        <v>220</v>
      </c>
      <c r="J29" s="43" t="s">
        <v>221</v>
      </c>
      <c r="K29" s="28" t="s">
        <v>222</v>
      </c>
      <c r="L29" s="44" t="s">
        <v>50</v>
      </c>
      <c r="M29" s="45">
        <v>1.0</v>
      </c>
      <c r="N29" s="31" t="s">
        <v>38</v>
      </c>
      <c r="O29" s="35" t="s">
        <v>100</v>
      </c>
      <c r="P29" s="43" t="s">
        <v>93</v>
      </c>
      <c r="Q29" s="43" t="s">
        <v>223</v>
      </c>
      <c r="R29" s="33" t="s">
        <v>41</v>
      </c>
      <c r="S29" s="47" t="s">
        <v>60</v>
      </c>
      <c r="T29" s="36" t="s">
        <v>60</v>
      </c>
      <c r="U29" s="31" t="s">
        <v>41</v>
      </c>
      <c r="V29" s="43" t="s">
        <v>224</v>
      </c>
      <c r="W29" s="4"/>
      <c r="X29" s="4"/>
      <c r="Y29" s="4"/>
      <c r="Z29" s="4"/>
    </row>
    <row r="30" ht="43.5" customHeight="1">
      <c r="A30" s="18" t="s">
        <v>225</v>
      </c>
      <c r="B30" s="50" t="s">
        <v>216</v>
      </c>
      <c r="C30" s="20" t="s">
        <v>226</v>
      </c>
      <c r="D30" s="21" t="s">
        <v>227</v>
      </c>
      <c r="E30" s="22">
        <v>12.0</v>
      </c>
      <c r="F30" s="23">
        <v>8.0</v>
      </c>
      <c r="G30" s="24">
        <f t="shared" si="1"/>
        <v>20</v>
      </c>
      <c r="H30" s="25" t="s">
        <v>219</v>
      </c>
      <c r="I30" s="26" t="s">
        <v>228</v>
      </c>
      <c r="J30" s="27" t="s">
        <v>229</v>
      </c>
      <c r="K30" s="28" t="s">
        <v>222</v>
      </c>
      <c r="L30" s="29" t="s">
        <v>50</v>
      </c>
      <c r="M30" s="30">
        <v>2.0</v>
      </c>
      <c r="N30" s="31" t="s">
        <v>38</v>
      </c>
      <c r="O30" s="35" t="s">
        <v>100</v>
      </c>
      <c r="P30" s="27" t="s">
        <v>230</v>
      </c>
      <c r="Q30" s="27" t="s">
        <v>231</v>
      </c>
      <c r="R30" s="33" t="s">
        <v>41</v>
      </c>
      <c r="S30" s="47" t="s">
        <v>60</v>
      </c>
      <c r="T30" s="33" t="s">
        <v>52</v>
      </c>
      <c r="U30" s="31" t="s">
        <v>41</v>
      </c>
      <c r="V30" s="27" t="s">
        <v>232</v>
      </c>
      <c r="W30" s="4"/>
      <c r="X30" s="4"/>
      <c r="Y30" s="4"/>
      <c r="Z30" s="4"/>
    </row>
    <row r="31" ht="43.5" customHeight="1">
      <c r="A31" s="18" t="s">
        <v>233</v>
      </c>
      <c r="B31" s="50" t="s">
        <v>216</v>
      </c>
      <c r="C31" s="37" t="s">
        <v>234</v>
      </c>
      <c r="D31" s="38" t="s">
        <v>235</v>
      </c>
      <c r="E31" s="39">
        <v>16.0</v>
      </c>
      <c r="F31" s="40">
        <v>8.0</v>
      </c>
      <c r="G31" s="41">
        <f t="shared" si="1"/>
        <v>24</v>
      </c>
      <c r="H31" s="42" t="s">
        <v>219</v>
      </c>
      <c r="I31" s="26" t="s">
        <v>236</v>
      </c>
      <c r="J31" s="43" t="s">
        <v>237</v>
      </c>
      <c r="K31" s="28" t="s">
        <v>222</v>
      </c>
      <c r="L31" s="44" t="s">
        <v>50</v>
      </c>
      <c r="M31" s="45">
        <v>2.0</v>
      </c>
      <c r="N31" s="31" t="s">
        <v>38</v>
      </c>
      <c r="O31" s="35" t="s">
        <v>100</v>
      </c>
      <c r="P31" s="43" t="s">
        <v>238</v>
      </c>
      <c r="Q31" s="43" t="s">
        <v>239</v>
      </c>
      <c r="R31" s="35" t="s">
        <v>43</v>
      </c>
      <c r="S31" s="47" t="s">
        <v>60</v>
      </c>
      <c r="T31" s="36" t="s">
        <v>60</v>
      </c>
      <c r="U31" s="31" t="s">
        <v>41</v>
      </c>
      <c r="V31" s="43" t="s">
        <v>240</v>
      </c>
      <c r="W31" s="4"/>
      <c r="X31" s="4"/>
      <c r="Y31" s="4"/>
      <c r="Z31" s="4"/>
    </row>
    <row r="32" ht="43.5" customHeight="1">
      <c r="A32" s="18" t="s">
        <v>239</v>
      </c>
      <c r="B32" s="50" t="s">
        <v>216</v>
      </c>
      <c r="C32" s="20" t="s">
        <v>241</v>
      </c>
      <c r="D32" s="21" t="s">
        <v>242</v>
      </c>
      <c r="E32" s="22">
        <v>12.0</v>
      </c>
      <c r="F32" s="23">
        <v>12.0</v>
      </c>
      <c r="G32" s="24">
        <f t="shared" si="1"/>
        <v>24</v>
      </c>
      <c r="H32" s="25" t="s">
        <v>219</v>
      </c>
      <c r="I32" s="26" t="s">
        <v>236</v>
      </c>
      <c r="J32" s="27" t="s">
        <v>243</v>
      </c>
      <c r="K32" s="28" t="s">
        <v>244</v>
      </c>
      <c r="L32" s="29" t="s">
        <v>50</v>
      </c>
      <c r="M32" s="30">
        <v>1.0</v>
      </c>
      <c r="N32" s="31" t="s">
        <v>38</v>
      </c>
      <c r="O32" s="35" t="s">
        <v>100</v>
      </c>
      <c r="P32" s="27" t="s">
        <v>233</v>
      </c>
      <c r="Q32" s="27"/>
      <c r="R32" s="35" t="s">
        <v>43</v>
      </c>
      <c r="S32" s="47" t="s">
        <v>60</v>
      </c>
      <c r="T32" s="35" t="s">
        <v>42</v>
      </c>
      <c r="U32" s="31" t="s">
        <v>41</v>
      </c>
      <c r="V32" s="27" t="s">
        <v>245</v>
      </c>
      <c r="W32" s="4"/>
      <c r="X32" s="4"/>
      <c r="Y32" s="4"/>
      <c r="Z32" s="4"/>
    </row>
    <row r="33" ht="43.5" customHeight="1">
      <c r="A33" s="18" t="s">
        <v>246</v>
      </c>
      <c r="B33" s="50" t="s">
        <v>216</v>
      </c>
      <c r="C33" s="37" t="s">
        <v>247</v>
      </c>
      <c r="D33" s="38" t="s">
        <v>248</v>
      </c>
      <c r="E33" s="39">
        <v>12.0</v>
      </c>
      <c r="F33" s="40">
        <v>12.0</v>
      </c>
      <c r="G33" s="41">
        <f t="shared" si="1"/>
        <v>24</v>
      </c>
      <c r="H33" s="42" t="s">
        <v>249</v>
      </c>
      <c r="I33" s="26" t="s">
        <v>250</v>
      </c>
      <c r="J33" s="43" t="s">
        <v>251</v>
      </c>
      <c r="K33" s="28" t="s">
        <v>222</v>
      </c>
      <c r="L33" s="44" t="s">
        <v>50</v>
      </c>
      <c r="M33" s="45">
        <v>2.0</v>
      </c>
      <c r="N33" s="31" t="s">
        <v>38</v>
      </c>
      <c r="O33" s="35" t="s">
        <v>100</v>
      </c>
      <c r="P33" s="43" t="s">
        <v>252</v>
      </c>
      <c r="Q33" s="43"/>
      <c r="R33" s="35" t="s">
        <v>43</v>
      </c>
      <c r="S33" s="47" t="s">
        <v>60</v>
      </c>
      <c r="T33" s="36" t="s">
        <v>60</v>
      </c>
      <c r="U33" s="31" t="s">
        <v>41</v>
      </c>
      <c r="V33" s="43" t="s">
        <v>253</v>
      </c>
      <c r="W33" s="4"/>
      <c r="X33" s="4"/>
      <c r="Y33" s="4"/>
      <c r="Z33" s="4"/>
    </row>
    <row r="34" ht="43.5" customHeight="1">
      <c r="A34" s="18" t="s">
        <v>254</v>
      </c>
      <c r="B34" s="50" t="s">
        <v>216</v>
      </c>
      <c r="C34" s="20" t="s">
        <v>255</v>
      </c>
      <c r="D34" s="21" t="s">
        <v>256</v>
      </c>
      <c r="E34" s="22">
        <v>16.0</v>
      </c>
      <c r="F34" s="23">
        <v>8.0</v>
      </c>
      <c r="G34" s="24">
        <f t="shared" si="1"/>
        <v>24</v>
      </c>
      <c r="H34" s="25" t="s">
        <v>219</v>
      </c>
      <c r="I34" s="26" t="s">
        <v>257</v>
      </c>
      <c r="J34" s="27" t="s">
        <v>258</v>
      </c>
      <c r="K34" s="28" t="s">
        <v>222</v>
      </c>
      <c r="L34" s="29" t="s">
        <v>50</v>
      </c>
      <c r="M34" s="30">
        <v>1.0</v>
      </c>
      <c r="N34" s="31" t="s">
        <v>38</v>
      </c>
      <c r="O34" s="35" t="s">
        <v>100</v>
      </c>
      <c r="P34" s="27" t="s">
        <v>259</v>
      </c>
      <c r="Q34" s="27" t="s">
        <v>225</v>
      </c>
      <c r="R34" s="35" t="s">
        <v>43</v>
      </c>
      <c r="S34" s="35" t="s">
        <v>52</v>
      </c>
      <c r="T34" s="35" t="s">
        <v>42</v>
      </c>
      <c r="U34" s="31" t="s">
        <v>41</v>
      </c>
      <c r="V34" s="27" t="s">
        <v>260</v>
      </c>
      <c r="W34" s="4"/>
      <c r="X34" s="4"/>
      <c r="Y34" s="4"/>
      <c r="Z34" s="4"/>
    </row>
    <row r="35" ht="43.5" customHeight="1">
      <c r="A35" s="18" t="s">
        <v>261</v>
      </c>
      <c r="B35" s="50" t="s">
        <v>216</v>
      </c>
      <c r="C35" s="37" t="s">
        <v>262</v>
      </c>
      <c r="D35" s="38" t="s">
        <v>263</v>
      </c>
      <c r="E35" s="39">
        <v>18.0</v>
      </c>
      <c r="F35" s="40">
        <v>12.0</v>
      </c>
      <c r="G35" s="41">
        <f t="shared" si="1"/>
        <v>30</v>
      </c>
      <c r="H35" s="42" t="s">
        <v>249</v>
      </c>
      <c r="I35" s="26" t="s">
        <v>264</v>
      </c>
      <c r="J35" s="43" t="s">
        <v>265</v>
      </c>
      <c r="K35" s="28" t="s">
        <v>222</v>
      </c>
      <c r="L35" s="44" t="s">
        <v>50</v>
      </c>
      <c r="M35" s="45">
        <v>2.0</v>
      </c>
      <c r="N35" s="31" t="s">
        <v>38</v>
      </c>
      <c r="O35" s="35" t="s">
        <v>100</v>
      </c>
      <c r="P35" s="43" t="s">
        <v>266</v>
      </c>
      <c r="Q35" s="43"/>
      <c r="R35" s="33" t="s">
        <v>41</v>
      </c>
      <c r="S35" s="47" t="s">
        <v>60</v>
      </c>
      <c r="T35" s="33" t="s">
        <v>52</v>
      </c>
      <c r="U35" s="31" t="s">
        <v>41</v>
      </c>
      <c r="V35" s="43" t="s">
        <v>267</v>
      </c>
      <c r="W35" s="4"/>
      <c r="X35" s="4"/>
      <c r="Y35" s="4"/>
      <c r="Z35" s="4"/>
    </row>
    <row r="36" ht="43.5" customHeight="1">
      <c r="A36" s="18" t="s">
        <v>268</v>
      </c>
      <c r="B36" s="50" t="s">
        <v>216</v>
      </c>
      <c r="C36" s="20" t="s">
        <v>269</v>
      </c>
      <c r="D36" s="21" t="s">
        <v>270</v>
      </c>
      <c r="E36" s="22">
        <v>14.0</v>
      </c>
      <c r="F36" s="23">
        <v>6.0</v>
      </c>
      <c r="G36" s="24">
        <f t="shared" si="1"/>
        <v>20</v>
      </c>
      <c r="H36" s="25" t="s">
        <v>249</v>
      </c>
      <c r="I36" s="26" t="s">
        <v>271</v>
      </c>
      <c r="J36" s="27" t="s">
        <v>272</v>
      </c>
      <c r="K36" s="28" t="s">
        <v>222</v>
      </c>
      <c r="L36" s="29" t="s">
        <v>99</v>
      </c>
      <c r="M36" s="30">
        <v>2.0</v>
      </c>
      <c r="N36" s="31" t="s">
        <v>60</v>
      </c>
      <c r="O36" s="51" t="s">
        <v>273</v>
      </c>
      <c r="P36" s="27" t="s">
        <v>274</v>
      </c>
      <c r="Q36" s="27"/>
      <c r="R36" s="35" t="s">
        <v>43</v>
      </c>
      <c r="S36" s="47" t="s">
        <v>60</v>
      </c>
      <c r="T36" s="36" t="s">
        <v>60</v>
      </c>
      <c r="U36" s="31" t="s">
        <v>41</v>
      </c>
      <c r="V36" s="27" t="s">
        <v>275</v>
      </c>
      <c r="W36" s="4"/>
      <c r="X36" s="4"/>
      <c r="Y36" s="4"/>
      <c r="Z36" s="4"/>
    </row>
    <row r="37" ht="43.5" customHeight="1">
      <c r="A37" s="18" t="s">
        <v>276</v>
      </c>
      <c r="B37" s="52" t="s">
        <v>277</v>
      </c>
      <c r="C37" s="37" t="s">
        <v>278</v>
      </c>
      <c r="D37" s="38" t="s">
        <v>279</v>
      </c>
      <c r="E37" s="39">
        <v>10.0</v>
      </c>
      <c r="F37" s="40">
        <v>4.0</v>
      </c>
      <c r="G37" s="41">
        <f t="shared" si="1"/>
        <v>14</v>
      </c>
      <c r="H37" s="42" t="s">
        <v>219</v>
      </c>
      <c r="I37" s="26" t="s">
        <v>280</v>
      </c>
      <c r="J37" s="43" t="s">
        <v>281</v>
      </c>
      <c r="K37" s="28" t="s">
        <v>36</v>
      </c>
      <c r="L37" s="44" t="s">
        <v>37</v>
      </c>
      <c r="M37" s="45">
        <v>1.0</v>
      </c>
      <c r="N37" s="31" t="s">
        <v>38</v>
      </c>
      <c r="O37" s="35" t="s">
        <v>100</v>
      </c>
      <c r="P37" s="43" t="s">
        <v>84</v>
      </c>
      <c r="Q37" s="43" t="s">
        <v>282</v>
      </c>
      <c r="R37" s="33" t="s">
        <v>41</v>
      </c>
      <c r="S37" s="34" t="s">
        <v>42</v>
      </c>
      <c r="T37" s="33" t="s">
        <v>52</v>
      </c>
      <c r="U37" s="31" t="s">
        <v>41</v>
      </c>
      <c r="V37" s="43" t="s">
        <v>283</v>
      </c>
      <c r="W37" s="4"/>
      <c r="X37" s="4"/>
      <c r="Y37" s="4"/>
      <c r="Z37" s="4"/>
    </row>
    <row r="38" ht="43.5" customHeight="1">
      <c r="A38" s="18" t="s">
        <v>282</v>
      </c>
      <c r="B38" s="52" t="s">
        <v>277</v>
      </c>
      <c r="C38" s="20" t="s">
        <v>284</v>
      </c>
      <c r="D38" s="21" t="s">
        <v>285</v>
      </c>
      <c r="E38" s="22">
        <v>10.0</v>
      </c>
      <c r="F38" s="23">
        <v>4.0</v>
      </c>
      <c r="G38" s="24">
        <f t="shared" si="1"/>
        <v>14</v>
      </c>
      <c r="H38" s="25" t="s">
        <v>219</v>
      </c>
      <c r="I38" s="26" t="s">
        <v>286</v>
      </c>
      <c r="J38" s="27" t="s">
        <v>287</v>
      </c>
      <c r="K38" s="28" t="s">
        <v>36</v>
      </c>
      <c r="L38" s="29" t="s">
        <v>37</v>
      </c>
      <c r="M38" s="30">
        <v>2.0</v>
      </c>
      <c r="N38" s="31" t="s">
        <v>38</v>
      </c>
      <c r="O38" s="35" t="s">
        <v>100</v>
      </c>
      <c r="P38" s="27" t="s">
        <v>276</v>
      </c>
      <c r="Q38" s="27"/>
      <c r="R38" s="35" t="s">
        <v>43</v>
      </c>
      <c r="S38" s="34" t="s">
        <v>42</v>
      </c>
      <c r="T38" s="35" t="s">
        <v>42</v>
      </c>
      <c r="U38" s="31" t="s">
        <v>41</v>
      </c>
      <c r="V38" s="27" t="s">
        <v>288</v>
      </c>
      <c r="W38" s="4"/>
      <c r="X38" s="4"/>
      <c r="Y38" s="4"/>
      <c r="Z38" s="4"/>
    </row>
    <row r="39" ht="43.5" customHeight="1">
      <c r="A39" s="18" t="s">
        <v>289</v>
      </c>
      <c r="B39" s="52" t="s">
        <v>277</v>
      </c>
      <c r="C39" s="37" t="s">
        <v>290</v>
      </c>
      <c r="D39" s="38" t="s">
        <v>291</v>
      </c>
      <c r="E39" s="39">
        <v>12.0</v>
      </c>
      <c r="F39" s="40">
        <v>4.0</v>
      </c>
      <c r="G39" s="41">
        <f t="shared" si="1"/>
        <v>16</v>
      </c>
      <c r="H39" s="42" t="s">
        <v>219</v>
      </c>
      <c r="I39" s="26" t="s">
        <v>292</v>
      </c>
      <c r="J39" s="43" t="s">
        <v>293</v>
      </c>
      <c r="K39" s="28" t="s">
        <v>36</v>
      </c>
      <c r="L39" s="44" t="s">
        <v>37</v>
      </c>
      <c r="M39" s="45">
        <v>1.0</v>
      </c>
      <c r="N39" s="31" t="s">
        <v>38</v>
      </c>
      <c r="O39" s="35" t="s">
        <v>100</v>
      </c>
      <c r="P39" s="43" t="s">
        <v>276</v>
      </c>
      <c r="Q39" s="43"/>
      <c r="R39" s="35" t="s">
        <v>43</v>
      </c>
      <c r="S39" s="34" t="s">
        <v>42</v>
      </c>
      <c r="T39" s="36" t="s">
        <v>60</v>
      </c>
      <c r="U39" s="31" t="s">
        <v>41</v>
      </c>
      <c r="V39" s="43" t="s">
        <v>294</v>
      </c>
      <c r="W39" s="4"/>
      <c r="X39" s="4"/>
      <c r="Y39" s="4"/>
      <c r="Z39" s="4"/>
    </row>
    <row r="40" ht="43.5" customHeight="1">
      <c r="A40" s="18" t="s">
        <v>295</v>
      </c>
      <c r="B40" s="52" t="s">
        <v>277</v>
      </c>
      <c r="C40" s="20" t="s">
        <v>296</v>
      </c>
      <c r="D40" s="21" t="s">
        <v>297</v>
      </c>
      <c r="E40" s="22">
        <v>8.0</v>
      </c>
      <c r="F40" s="23">
        <v>4.0</v>
      </c>
      <c r="G40" s="24">
        <f t="shared" si="1"/>
        <v>12</v>
      </c>
      <c r="H40" s="25" t="s">
        <v>219</v>
      </c>
      <c r="I40" s="26" t="s">
        <v>298</v>
      </c>
      <c r="J40" s="27" t="s">
        <v>299</v>
      </c>
      <c r="K40" s="28" t="s">
        <v>167</v>
      </c>
      <c r="L40" s="29" t="s">
        <v>37</v>
      </c>
      <c r="M40" s="30">
        <v>1.0</v>
      </c>
      <c r="N40" s="33" t="s">
        <v>52</v>
      </c>
      <c r="O40" s="51" t="s">
        <v>273</v>
      </c>
      <c r="P40" s="27" t="s">
        <v>104</v>
      </c>
      <c r="Q40" s="27"/>
      <c r="R40" s="35" t="s">
        <v>43</v>
      </c>
      <c r="S40" s="35" t="s">
        <v>52</v>
      </c>
      <c r="T40" s="35" t="s">
        <v>42</v>
      </c>
      <c r="U40" s="31" t="s">
        <v>41</v>
      </c>
      <c r="V40" s="27" t="s">
        <v>300</v>
      </c>
      <c r="W40" s="4"/>
      <c r="X40" s="4"/>
      <c r="Y40" s="4"/>
      <c r="Z40" s="4"/>
    </row>
    <row r="41" ht="43.5" customHeight="1">
      <c r="A41" s="18" t="s">
        <v>301</v>
      </c>
      <c r="B41" s="52" t="s">
        <v>277</v>
      </c>
      <c r="C41" s="37" t="s">
        <v>302</v>
      </c>
      <c r="D41" s="38" t="s">
        <v>303</v>
      </c>
      <c r="E41" s="39">
        <v>6.0</v>
      </c>
      <c r="F41" s="40">
        <v>4.0</v>
      </c>
      <c r="G41" s="41">
        <f t="shared" si="1"/>
        <v>10</v>
      </c>
      <c r="H41" s="42" t="s">
        <v>219</v>
      </c>
      <c r="I41" s="26" t="s">
        <v>228</v>
      </c>
      <c r="J41" s="43" t="s">
        <v>304</v>
      </c>
      <c r="K41" s="28" t="s">
        <v>36</v>
      </c>
      <c r="L41" s="44" t="s">
        <v>37</v>
      </c>
      <c r="M41" s="45">
        <v>1.0</v>
      </c>
      <c r="N41" s="31" t="s">
        <v>38</v>
      </c>
      <c r="O41" s="35" t="s">
        <v>100</v>
      </c>
      <c r="P41" s="43" t="s">
        <v>276</v>
      </c>
      <c r="Q41" s="43" t="s">
        <v>305</v>
      </c>
      <c r="R41" s="33" t="s">
        <v>41</v>
      </c>
      <c r="S41" s="34" t="s">
        <v>42</v>
      </c>
      <c r="T41" s="35" t="s">
        <v>42</v>
      </c>
      <c r="U41" s="31" t="s">
        <v>41</v>
      </c>
      <c r="V41" s="43" t="s">
        <v>306</v>
      </c>
      <c r="W41" s="4"/>
      <c r="X41" s="4"/>
      <c r="Y41" s="4"/>
      <c r="Z41" s="4"/>
    </row>
    <row r="42" ht="43.5" customHeight="1">
      <c r="A42" s="18" t="s">
        <v>307</v>
      </c>
      <c r="B42" s="52" t="s">
        <v>277</v>
      </c>
      <c r="C42" s="20" t="s">
        <v>308</v>
      </c>
      <c r="D42" s="21" t="s">
        <v>309</v>
      </c>
      <c r="E42" s="22">
        <v>20.0</v>
      </c>
      <c r="F42" s="23">
        <v>8.0</v>
      </c>
      <c r="G42" s="24">
        <f t="shared" si="1"/>
        <v>28</v>
      </c>
      <c r="H42" s="25" t="s">
        <v>310</v>
      </c>
      <c r="I42" s="26" t="s">
        <v>228</v>
      </c>
      <c r="J42" s="27" t="s">
        <v>311</v>
      </c>
      <c r="K42" s="28" t="s">
        <v>36</v>
      </c>
      <c r="L42" s="29" t="s">
        <v>50</v>
      </c>
      <c r="M42" s="30">
        <v>2.0</v>
      </c>
      <c r="N42" s="31" t="s">
        <v>38</v>
      </c>
      <c r="O42" s="35" t="s">
        <v>100</v>
      </c>
      <c r="P42" s="27" t="s">
        <v>301</v>
      </c>
      <c r="Q42" s="27" t="s">
        <v>312</v>
      </c>
      <c r="R42" s="33" t="s">
        <v>41</v>
      </c>
      <c r="S42" s="47" t="s">
        <v>60</v>
      </c>
      <c r="T42" s="33" t="s">
        <v>52</v>
      </c>
      <c r="U42" s="31" t="s">
        <v>41</v>
      </c>
      <c r="V42" s="27" t="s">
        <v>313</v>
      </c>
      <c r="W42" s="4"/>
      <c r="X42" s="4"/>
      <c r="Y42" s="4"/>
      <c r="Z42" s="4"/>
    </row>
    <row r="43" ht="43.5" customHeight="1">
      <c r="A43" s="18" t="s">
        <v>312</v>
      </c>
      <c r="B43" s="52" t="s">
        <v>277</v>
      </c>
      <c r="C43" s="37" t="s">
        <v>314</v>
      </c>
      <c r="D43" s="38" t="s">
        <v>315</v>
      </c>
      <c r="E43" s="39">
        <v>20.0</v>
      </c>
      <c r="F43" s="40">
        <v>8.0</v>
      </c>
      <c r="G43" s="41">
        <f t="shared" si="1"/>
        <v>28</v>
      </c>
      <c r="H43" s="42" t="s">
        <v>219</v>
      </c>
      <c r="I43" s="26" t="s">
        <v>228</v>
      </c>
      <c r="J43" s="43" t="s">
        <v>316</v>
      </c>
      <c r="K43" s="28" t="s">
        <v>317</v>
      </c>
      <c r="L43" s="44" t="s">
        <v>50</v>
      </c>
      <c r="M43" s="45">
        <v>1.0</v>
      </c>
      <c r="N43" s="31" t="s">
        <v>38</v>
      </c>
      <c r="O43" s="51" t="s">
        <v>273</v>
      </c>
      <c r="P43" s="43" t="s">
        <v>307</v>
      </c>
      <c r="Q43" s="43"/>
      <c r="R43" s="35" t="s">
        <v>43</v>
      </c>
      <c r="S43" s="47" t="s">
        <v>60</v>
      </c>
      <c r="T43" s="36" t="s">
        <v>60</v>
      </c>
      <c r="U43" s="31" t="s">
        <v>41</v>
      </c>
      <c r="V43" s="43" t="s">
        <v>318</v>
      </c>
      <c r="W43" s="4"/>
      <c r="X43" s="4"/>
      <c r="Y43" s="4"/>
      <c r="Z43" s="4"/>
    </row>
    <row r="44" ht="43.5" customHeight="1">
      <c r="A44" s="18" t="s">
        <v>319</v>
      </c>
      <c r="B44" s="48" t="s">
        <v>116</v>
      </c>
      <c r="C44" s="20" t="s">
        <v>320</v>
      </c>
      <c r="D44" s="21" t="s">
        <v>321</v>
      </c>
      <c r="E44" s="22">
        <v>12.0</v>
      </c>
      <c r="F44" s="23">
        <v>0.0</v>
      </c>
      <c r="G44" s="24">
        <f t="shared" si="1"/>
        <v>12</v>
      </c>
      <c r="H44" s="25" t="s">
        <v>322</v>
      </c>
      <c r="I44" s="26" t="s">
        <v>323</v>
      </c>
      <c r="J44" s="27" t="s">
        <v>324</v>
      </c>
      <c r="K44" s="28" t="s">
        <v>36</v>
      </c>
      <c r="L44" s="29" t="s">
        <v>50</v>
      </c>
      <c r="M44" s="30">
        <v>3.0</v>
      </c>
      <c r="N44" s="33" t="s">
        <v>52</v>
      </c>
      <c r="O44" s="35" t="s">
        <v>100</v>
      </c>
      <c r="P44" s="27" t="s">
        <v>325</v>
      </c>
      <c r="Q44" s="27" t="s">
        <v>326</v>
      </c>
      <c r="R44" s="33" t="s">
        <v>41</v>
      </c>
      <c r="S44" s="47" t="s">
        <v>60</v>
      </c>
      <c r="T44" s="36" t="s">
        <v>60</v>
      </c>
      <c r="U44" s="31" t="s">
        <v>41</v>
      </c>
      <c r="V44" s="27" t="s">
        <v>327</v>
      </c>
      <c r="W44" s="4"/>
      <c r="X44" s="4"/>
      <c r="Y44" s="4"/>
      <c r="Z44" s="4"/>
    </row>
    <row r="45" ht="43.5" customHeight="1">
      <c r="A45" s="18" t="s">
        <v>328</v>
      </c>
      <c r="B45" s="48" t="s">
        <v>116</v>
      </c>
      <c r="C45" s="37" t="s">
        <v>329</v>
      </c>
      <c r="D45" s="38" t="s">
        <v>330</v>
      </c>
      <c r="E45" s="39">
        <v>18.0</v>
      </c>
      <c r="F45" s="40">
        <v>12.0</v>
      </c>
      <c r="G45" s="41">
        <f t="shared" si="1"/>
        <v>30</v>
      </c>
      <c r="H45" s="42" t="s">
        <v>331</v>
      </c>
      <c r="I45" s="26" t="s">
        <v>332</v>
      </c>
      <c r="J45" s="43" t="s">
        <v>333</v>
      </c>
      <c r="K45" s="28" t="s">
        <v>222</v>
      </c>
      <c r="L45" s="44" t="s">
        <v>50</v>
      </c>
      <c r="M45" s="45">
        <v>2.0</v>
      </c>
      <c r="N45" s="33" t="s">
        <v>52</v>
      </c>
      <c r="O45" s="35" t="s">
        <v>100</v>
      </c>
      <c r="P45" s="43" t="s">
        <v>319</v>
      </c>
      <c r="Q45" s="43"/>
      <c r="R45" s="35" t="s">
        <v>43</v>
      </c>
      <c r="S45" s="35" t="s">
        <v>52</v>
      </c>
      <c r="T45" s="36" t="s">
        <v>60</v>
      </c>
      <c r="U45" s="31" t="s">
        <v>41</v>
      </c>
      <c r="V45" s="43" t="s">
        <v>334</v>
      </c>
      <c r="W45" s="4"/>
      <c r="X45" s="4"/>
      <c r="Y45" s="4"/>
      <c r="Z45" s="4"/>
    </row>
    <row r="46" ht="43.5" customHeight="1">
      <c r="A46" s="18" t="s">
        <v>335</v>
      </c>
      <c r="B46" s="48" t="s">
        <v>116</v>
      </c>
      <c r="C46" s="20" t="s">
        <v>336</v>
      </c>
      <c r="D46" s="21" t="s">
        <v>337</v>
      </c>
      <c r="E46" s="22">
        <v>18.0</v>
      </c>
      <c r="F46" s="23">
        <v>16.0</v>
      </c>
      <c r="G46" s="24">
        <f t="shared" si="1"/>
        <v>34</v>
      </c>
      <c r="H46" s="25" t="s">
        <v>338</v>
      </c>
      <c r="I46" s="26" t="s">
        <v>332</v>
      </c>
      <c r="J46" s="27" t="s">
        <v>339</v>
      </c>
      <c r="K46" s="28" t="s">
        <v>340</v>
      </c>
      <c r="L46" s="29" t="s">
        <v>50</v>
      </c>
      <c r="M46" s="30">
        <v>2.0</v>
      </c>
      <c r="N46" s="31" t="s">
        <v>38</v>
      </c>
      <c r="O46" s="51" t="s">
        <v>273</v>
      </c>
      <c r="P46" s="27" t="s">
        <v>341</v>
      </c>
      <c r="Q46" s="27"/>
      <c r="R46" s="35" t="s">
        <v>43</v>
      </c>
      <c r="S46" s="35" t="s">
        <v>52</v>
      </c>
      <c r="T46" s="36" t="s">
        <v>60</v>
      </c>
      <c r="U46" s="31" t="s">
        <v>41</v>
      </c>
      <c r="V46" s="27" t="s">
        <v>342</v>
      </c>
      <c r="W46" s="4"/>
      <c r="X46" s="4"/>
      <c r="Y46" s="4"/>
      <c r="Z46" s="4"/>
    </row>
    <row r="47" ht="43.5" customHeight="1">
      <c r="A47" s="18" t="s">
        <v>343</v>
      </c>
      <c r="B47" s="49" t="s">
        <v>146</v>
      </c>
      <c r="C47" s="37" t="s">
        <v>344</v>
      </c>
      <c r="D47" s="38" t="s">
        <v>345</v>
      </c>
      <c r="E47" s="39">
        <v>0.0</v>
      </c>
      <c r="F47" s="40">
        <v>16.0</v>
      </c>
      <c r="G47" s="41">
        <f t="shared" si="1"/>
        <v>16</v>
      </c>
      <c r="H47" s="42" t="s">
        <v>195</v>
      </c>
      <c r="I47" s="26" t="s">
        <v>346</v>
      </c>
      <c r="J47" s="43" t="s">
        <v>347</v>
      </c>
      <c r="K47" s="28" t="s">
        <v>36</v>
      </c>
      <c r="L47" s="44" t="s">
        <v>37</v>
      </c>
      <c r="M47" s="45">
        <v>1.0</v>
      </c>
      <c r="N47" s="31" t="s">
        <v>38</v>
      </c>
      <c r="O47" s="51" t="s">
        <v>273</v>
      </c>
      <c r="P47" s="43" t="s">
        <v>153</v>
      </c>
      <c r="Q47" s="43"/>
      <c r="R47" s="35" t="s">
        <v>43</v>
      </c>
      <c r="S47" s="35" t="s">
        <v>52</v>
      </c>
      <c r="T47" s="35" t="s">
        <v>42</v>
      </c>
      <c r="U47" s="31" t="s">
        <v>41</v>
      </c>
      <c r="V47" s="43" t="s">
        <v>348</v>
      </c>
      <c r="W47" s="4"/>
      <c r="X47" s="4"/>
      <c r="Y47" s="4"/>
      <c r="Z47" s="4"/>
    </row>
    <row r="48" ht="43.5" customHeight="1">
      <c r="A48" s="18" t="s">
        <v>349</v>
      </c>
      <c r="B48" s="49" t="s">
        <v>146</v>
      </c>
      <c r="C48" s="20" t="s">
        <v>350</v>
      </c>
      <c r="D48" s="21" t="s">
        <v>351</v>
      </c>
      <c r="E48" s="22">
        <v>0.0</v>
      </c>
      <c r="F48" s="23">
        <v>20.0</v>
      </c>
      <c r="G48" s="24">
        <f t="shared" si="1"/>
        <v>20</v>
      </c>
      <c r="H48" s="25" t="s">
        <v>195</v>
      </c>
      <c r="I48" s="26" t="s">
        <v>352</v>
      </c>
      <c r="J48" s="27" t="s">
        <v>353</v>
      </c>
      <c r="K48" s="28" t="s">
        <v>36</v>
      </c>
      <c r="L48" s="29" t="s">
        <v>37</v>
      </c>
      <c r="M48" s="30">
        <v>1.0</v>
      </c>
      <c r="N48" s="31" t="s">
        <v>38</v>
      </c>
      <c r="O48" s="51" t="s">
        <v>273</v>
      </c>
      <c r="P48" s="27" t="s">
        <v>175</v>
      </c>
      <c r="Q48" s="27"/>
      <c r="R48" s="35" t="s">
        <v>43</v>
      </c>
      <c r="S48" s="47" t="s">
        <v>60</v>
      </c>
      <c r="T48" s="35" t="s">
        <v>42</v>
      </c>
      <c r="U48" s="31" t="s">
        <v>41</v>
      </c>
      <c r="V48" s="27" t="s">
        <v>354</v>
      </c>
      <c r="W48" s="4"/>
      <c r="X48" s="4"/>
      <c r="Y48" s="4"/>
      <c r="Z48" s="4"/>
    </row>
    <row r="49" ht="27.75" customHeight="1">
      <c r="A49" s="53" t="s">
        <v>355</v>
      </c>
      <c r="B49" s="2"/>
      <c r="C49" s="2"/>
      <c r="D49" s="3"/>
      <c r="E49" s="54">
        <f t="shared" ref="E49:G49" si="2">SUM(E4:E48)</f>
        <v>654</v>
      </c>
      <c r="F49" s="54">
        <f t="shared" si="2"/>
        <v>310</v>
      </c>
      <c r="G49" s="54">
        <f t="shared" si="2"/>
        <v>964</v>
      </c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7">
    <mergeCell ref="A1:V1"/>
    <mergeCell ref="A2:G2"/>
    <mergeCell ref="H2:K2"/>
    <mergeCell ref="L2:N2"/>
    <mergeCell ref="O2:R2"/>
    <mergeCell ref="S2:U2"/>
    <mergeCell ref="A49:D4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8.0"/>
    <col customWidth="1" min="3" max="3" width="52.0"/>
    <col customWidth="1" min="4" max="4" width="42.0"/>
    <col customWidth="1" min="5" max="26" width="8.71"/>
  </cols>
  <sheetData>
    <row r="1" ht="31.5" customHeight="1">
      <c r="A1" s="1" t="s">
        <v>356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6" t="s">
        <v>357</v>
      </c>
      <c r="B2" s="56" t="s">
        <v>358</v>
      </c>
      <c r="C2" s="56" t="s">
        <v>359</v>
      </c>
      <c r="D2" s="56" t="s">
        <v>360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9.75" customHeight="1">
      <c r="A3" s="57" t="s">
        <v>7</v>
      </c>
      <c r="B3" s="58" t="s">
        <v>100</v>
      </c>
      <c r="C3" s="59" t="s">
        <v>361</v>
      </c>
      <c r="D3" s="60" t="s">
        <v>362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9.75" customHeight="1">
      <c r="A4" s="61" t="s">
        <v>8</v>
      </c>
      <c r="B4" s="58" t="s">
        <v>100</v>
      </c>
      <c r="C4" s="62" t="s">
        <v>363</v>
      </c>
      <c r="D4" s="63" t="s">
        <v>364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75" customHeight="1">
      <c r="A5" s="57" t="s">
        <v>9</v>
      </c>
      <c r="B5" s="58" t="s">
        <v>100</v>
      </c>
      <c r="C5" s="59" t="s">
        <v>365</v>
      </c>
      <c r="D5" s="60" t="s">
        <v>366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9.75" customHeight="1">
      <c r="A6" s="61" t="s">
        <v>10</v>
      </c>
      <c r="B6" s="58" t="s">
        <v>100</v>
      </c>
      <c r="C6" s="62" t="s">
        <v>367</v>
      </c>
      <c r="D6" s="63" t="s">
        <v>368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9.75" customHeight="1">
      <c r="A7" s="57" t="s">
        <v>11</v>
      </c>
      <c r="B7" s="58" t="s">
        <v>100</v>
      </c>
      <c r="C7" s="59" t="s">
        <v>369</v>
      </c>
      <c r="D7" s="60" t="s">
        <v>370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9.75" customHeight="1">
      <c r="A8" s="61" t="s">
        <v>12</v>
      </c>
      <c r="B8" s="58" t="s">
        <v>100</v>
      </c>
      <c r="C8" s="62" t="s">
        <v>371</v>
      </c>
      <c r="D8" s="63" t="s">
        <v>370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9.75" customHeight="1">
      <c r="A9" s="57" t="s">
        <v>13</v>
      </c>
      <c r="B9" s="58" t="s">
        <v>100</v>
      </c>
      <c r="C9" s="59" t="s">
        <v>372</v>
      </c>
      <c r="D9" s="60" t="s">
        <v>373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9.75" customHeight="1">
      <c r="A10" s="61" t="s">
        <v>14</v>
      </c>
      <c r="B10" s="64" t="s">
        <v>374</v>
      </c>
      <c r="C10" s="62" t="s">
        <v>375</v>
      </c>
      <c r="D10" s="63" t="s">
        <v>376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7" t="s">
        <v>15</v>
      </c>
      <c r="B11" s="64" t="s">
        <v>374</v>
      </c>
      <c r="C11" s="59" t="s">
        <v>377</v>
      </c>
      <c r="D11" s="60" t="s">
        <v>378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9.75" customHeight="1">
      <c r="A12" s="61" t="s">
        <v>16</v>
      </c>
      <c r="B12" s="64" t="s">
        <v>374</v>
      </c>
      <c r="C12" s="62" t="s">
        <v>379</v>
      </c>
      <c r="D12" s="63" t="s">
        <v>380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9.75" customHeight="1">
      <c r="A13" s="57" t="s">
        <v>17</v>
      </c>
      <c r="B13" s="64" t="s">
        <v>374</v>
      </c>
      <c r="C13" s="59" t="s">
        <v>381</v>
      </c>
      <c r="D13" s="60" t="s">
        <v>382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9.75" customHeight="1">
      <c r="A14" s="61" t="s">
        <v>18</v>
      </c>
      <c r="B14" s="65" t="s">
        <v>383</v>
      </c>
      <c r="C14" s="62" t="s">
        <v>384</v>
      </c>
      <c r="D14" s="63" t="s">
        <v>385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9.75" customHeight="1">
      <c r="A15" s="57" t="s">
        <v>19</v>
      </c>
      <c r="B15" s="65" t="s">
        <v>383</v>
      </c>
      <c r="C15" s="59" t="s">
        <v>386</v>
      </c>
      <c r="D15" s="60" t="s">
        <v>387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9.75" customHeight="1">
      <c r="A16" s="61" t="s">
        <v>20</v>
      </c>
      <c r="B16" s="65" t="s">
        <v>383</v>
      </c>
      <c r="C16" s="62" t="s">
        <v>388</v>
      </c>
      <c r="D16" s="63" t="s">
        <v>389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9.75" customHeight="1">
      <c r="A17" s="57" t="s">
        <v>21</v>
      </c>
      <c r="B17" s="66" t="s">
        <v>390</v>
      </c>
      <c r="C17" s="59" t="s">
        <v>391</v>
      </c>
      <c r="D17" s="60" t="s">
        <v>392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9.75" customHeight="1">
      <c r="A18" s="61" t="s">
        <v>22</v>
      </c>
      <c r="B18" s="66" t="s">
        <v>390</v>
      </c>
      <c r="C18" s="62" t="s">
        <v>393</v>
      </c>
      <c r="D18" s="63" t="s">
        <v>394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9.75" customHeight="1">
      <c r="A19" s="57" t="s">
        <v>23</v>
      </c>
      <c r="B19" s="66" t="s">
        <v>390</v>
      </c>
      <c r="C19" s="59" t="s">
        <v>395</v>
      </c>
      <c r="D19" s="60" t="s">
        <v>396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9.75" customHeight="1">
      <c r="A20" s="61" t="s">
        <v>24</v>
      </c>
      <c r="B20" s="66" t="s">
        <v>390</v>
      </c>
      <c r="C20" s="62" t="s">
        <v>397</v>
      </c>
      <c r="D20" s="63" t="s">
        <v>398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9.75" customHeight="1">
      <c r="A21" s="57" t="s">
        <v>25</v>
      </c>
      <c r="B21" s="67" t="s">
        <v>399</v>
      </c>
      <c r="C21" s="59" t="s">
        <v>400</v>
      </c>
      <c r="D21" s="60" t="s">
        <v>401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9.75" customHeight="1">
      <c r="A22" s="61" t="s">
        <v>26</v>
      </c>
      <c r="B22" s="67" t="s">
        <v>399</v>
      </c>
      <c r="C22" s="62" t="s">
        <v>402</v>
      </c>
      <c r="D22" s="63" t="s">
        <v>403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9.75" customHeight="1">
      <c r="A23" s="68" t="s">
        <v>27</v>
      </c>
      <c r="B23" s="67" t="s">
        <v>399</v>
      </c>
      <c r="C23" s="59" t="s">
        <v>404</v>
      </c>
      <c r="D23" s="60" t="s">
        <v>398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9.75" customHeight="1">
      <c r="A24" s="61" t="s">
        <v>28</v>
      </c>
      <c r="B24" s="69" t="s">
        <v>405</v>
      </c>
      <c r="C24" s="62" t="s">
        <v>406</v>
      </c>
      <c r="D24" s="63" t="s">
        <v>407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99.29"/>
    <col customWidth="1" min="3" max="26" width="8.71"/>
  </cols>
  <sheetData>
    <row r="1" ht="31.5" customHeight="1">
      <c r="A1" s="70" t="s">
        <v>408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6" t="s">
        <v>409</v>
      </c>
      <c r="B2" s="56" t="s">
        <v>410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3.75" customHeight="1">
      <c r="A3" s="57" t="s">
        <v>411</v>
      </c>
      <c r="B3" s="71" t="s">
        <v>412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3.75" customHeight="1">
      <c r="A4" s="61" t="s">
        <v>413</v>
      </c>
      <c r="B4" s="71" t="s">
        <v>414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3.75" customHeight="1">
      <c r="A5" s="57" t="s">
        <v>415</v>
      </c>
      <c r="B5" s="71" t="s">
        <v>416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3.75" customHeight="1">
      <c r="A6" s="61" t="s">
        <v>417</v>
      </c>
      <c r="B6" s="71" t="s">
        <v>418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3.75" customHeight="1">
      <c r="A7" s="57" t="s">
        <v>419</v>
      </c>
      <c r="B7" s="71" t="s">
        <v>420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3.75" customHeight="1">
      <c r="A8" s="61" t="s">
        <v>421</v>
      </c>
      <c r="B8" s="71" t="s">
        <v>422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3.75" customHeight="1">
      <c r="A9" s="57" t="s">
        <v>423</v>
      </c>
      <c r="B9" s="71" t="s">
        <v>424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3.75" customHeight="1">
      <c r="A10" s="61" t="s">
        <v>425</v>
      </c>
      <c r="B10" s="71" t="s">
        <v>426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3.75" customHeight="1">
      <c r="A11" s="57" t="s">
        <v>427</v>
      </c>
      <c r="B11" s="71" t="s">
        <v>428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3.75" customHeight="1">
      <c r="A12" s="61" t="s">
        <v>429</v>
      </c>
      <c r="B12" s="71" t="s">
        <v>430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3.75" customHeight="1">
      <c r="A13" s="57" t="s">
        <v>431</v>
      </c>
      <c r="B13" s="71" t="s">
        <v>432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3.75" customHeight="1">
      <c r="A14" s="61" t="s">
        <v>433</v>
      </c>
      <c r="B14" s="71" t="s">
        <v>434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3.75" customHeight="1">
      <c r="A15" s="57" t="s">
        <v>435</v>
      </c>
      <c r="B15" s="71" t="s">
        <v>436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3.75" customHeight="1">
      <c r="A16" s="61" t="s">
        <v>437</v>
      </c>
      <c r="B16" s="71" t="s">
        <v>438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75" customHeight="1">
      <c r="A17" s="57" t="s">
        <v>439</v>
      </c>
      <c r="B17" s="71" t="s">
        <v>440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3.75" customHeight="1">
      <c r="A18" s="61" t="s">
        <v>441</v>
      </c>
      <c r="B18" s="71" t="s">
        <v>442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3.75" customHeight="1">
      <c r="A19" s="57" t="s">
        <v>443</v>
      </c>
      <c r="B19" s="71" t="s">
        <v>444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3.75" customHeight="1">
      <c r="A20" s="61" t="s">
        <v>445</v>
      </c>
      <c r="B20" s="71" t="s">
        <v>446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3.75" customHeight="1">
      <c r="A21" s="57" t="s">
        <v>447</v>
      </c>
      <c r="B21" s="71" t="s">
        <v>448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3.75" customHeight="1">
      <c r="A22" s="61" t="s">
        <v>449</v>
      </c>
      <c r="B22" s="71" t="s">
        <v>450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3.75" customHeight="1">
      <c r="A23" s="57" t="s">
        <v>451</v>
      </c>
      <c r="B23" s="71" t="s">
        <v>452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3.75" customHeight="1">
      <c r="A24" s="61" t="s">
        <v>453</v>
      </c>
      <c r="B24" s="71" t="s">
        <v>454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